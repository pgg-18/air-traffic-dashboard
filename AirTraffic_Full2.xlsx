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FY19-20_Annex3" sheetId="3" state="visible" r:id="rId3"/>
    <sheet xmlns:r="http://schemas.openxmlformats.org/officeDocument/2006/relationships" name="FY20-21_Annex3" sheetId="4" state="visible" r:id="rId4"/>
    <sheet xmlns:r="http://schemas.openxmlformats.org/officeDocument/2006/relationships" name="FY21-22_Annex3" sheetId="5" state="visible" r:id="rId5"/>
    <sheet xmlns:r="http://schemas.openxmlformats.org/officeDocument/2006/relationships" name="FY22-23_Annex3" sheetId="6" state="visible" r:id="rId6"/>
    <sheet xmlns:r="http://schemas.openxmlformats.org/officeDocument/2006/relationships" name="FY23-24_Annex3" sheetId="7" state="visible" r:id="rId7"/>
    <sheet xmlns:r="http://schemas.openxmlformats.org/officeDocument/2006/relationships" name="FY24-25_Annex3" sheetId="8" state="visible" r:id="rId8"/>
    <sheet xmlns:r="http://schemas.openxmlformats.org/officeDocument/2006/relationships" name="FY25-26_Annex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3" fontId="2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3" fontId="8" fillId="9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3" fontId="8" fillId="3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3" fontId="8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3" fontId="8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8" customWidth="1" min="5" max="5"/>
    <col width="10" customWidth="1" min="6" max="6"/>
    <col width="35" customWidth="1" min="7" max="7"/>
    <col width="18" customWidth="1" min="8" max="8"/>
    <col width="12" customWidth="1" min="9" max="9"/>
  </cols>
  <sheetData>
    <row r="1" ht="16" customHeight="1">
      <c r="A1" s="1" t="inlineStr">
        <is>
          <t>Financial Year</t>
        </is>
      </c>
      <c r="B1" s="1" t="inlineStr">
        <is>
          <t>Metric</t>
        </is>
      </c>
      <c r="C1" s="1" t="inlineStr">
        <is>
          <t>Type</t>
        </is>
      </c>
      <c r="D1" s="1" t="inlineStr">
        <is>
          <t>FY Value</t>
        </is>
      </c>
      <c r="E1" s="1" t="inlineStr">
        <is>
          <t>Prev FY Value</t>
        </is>
      </c>
      <c r="F1" s="1" t="inlineStr">
        <is>
          <t>YoY%</t>
        </is>
      </c>
    </row>
    <row r="2" ht="15" customHeight="1">
      <c r="A2" s="2" t="inlineStr">
        <is>
          <t>2019-2020</t>
        </is>
      </c>
      <c r="B2" s="2" t="inlineStr">
        <is>
          <t>Movements</t>
        </is>
      </c>
      <c r="C2" s="2" t="inlineStr">
        <is>
          <t>International</t>
        </is>
      </c>
      <c r="D2" s="3" t="n">
        <v>431853</v>
      </c>
      <c r="E2" s="3" t="n">
        <v>452641</v>
      </c>
      <c r="F2" s="4">
        <f>IFERROR(ROUND((D2-E2)*100/E2,1)&amp;"%","—")</f>
        <v/>
      </c>
    </row>
    <row r="3" ht="15" customHeight="1">
      <c r="A3" s="2" t="inlineStr">
        <is>
          <t>2020-2021</t>
        </is>
      </c>
      <c r="B3" s="2" t="inlineStr">
        <is>
          <t>Movements</t>
        </is>
      </c>
      <c r="C3" s="2" t="inlineStr">
        <is>
          <t>International</t>
        </is>
      </c>
      <c r="D3" s="3" t="n">
        <v>134824</v>
      </c>
      <c r="E3" s="3" t="n">
        <v>431853</v>
      </c>
      <c r="F3" s="4">
        <f>IFERROR(ROUND((D3-E3)*100/E3,1)&amp;"%","—")</f>
        <v/>
      </c>
    </row>
    <row r="4" ht="15" customHeight="1">
      <c r="A4" s="2" t="inlineStr">
        <is>
          <t>2021-2022</t>
        </is>
      </c>
      <c r="B4" s="2" t="inlineStr">
        <is>
          <t>Movements</t>
        </is>
      </c>
      <c r="C4" s="2" t="inlineStr">
        <is>
          <t>International</t>
        </is>
      </c>
      <c r="D4" s="3" t="n">
        <v>211836</v>
      </c>
      <c r="E4" s="3" t="n">
        <v>134824</v>
      </c>
      <c r="F4" s="4">
        <f>IFERROR(ROUND((D4-E4)*100/E4,1)&amp;"%","—")</f>
        <v/>
      </c>
    </row>
    <row r="5" ht="15" customHeight="1">
      <c r="A5" s="2" t="inlineStr">
        <is>
          <t>2022-2023</t>
        </is>
      </c>
      <c r="B5" s="2" t="inlineStr">
        <is>
          <t>Movements</t>
        </is>
      </c>
      <c r="C5" s="2" t="inlineStr">
        <is>
          <t>International</t>
        </is>
      </c>
      <c r="D5" s="3" t="n">
        <v>365048</v>
      </c>
      <c r="E5" s="3" t="n">
        <v>211836</v>
      </c>
      <c r="F5" s="4">
        <f>IFERROR(ROUND((D5-E5)*100/E5,1)&amp;"%","—")</f>
        <v/>
      </c>
    </row>
    <row r="6" ht="15" customHeight="1">
      <c r="A6" s="2" t="inlineStr">
        <is>
          <t>2023-2024</t>
        </is>
      </c>
      <c r="B6" s="2" t="inlineStr">
        <is>
          <t>Movements</t>
        </is>
      </c>
      <c r="C6" s="2" t="inlineStr">
        <is>
          <t>International</t>
        </is>
      </c>
      <c r="D6" s="3" t="n">
        <v>425172</v>
      </c>
      <c r="E6" s="3" t="n">
        <v>365048</v>
      </c>
      <c r="F6" s="4">
        <f>IFERROR(ROUND((D6-E6)*100/E6,1)&amp;"%","—")</f>
        <v/>
      </c>
    </row>
    <row r="7" ht="15" customHeight="1">
      <c r="A7" s="2" t="inlineStr">
        <is>
          <t>2024-2025</t>
        </is>
      </c>
      <c r="B7" s="2" t="inlineStr">
        <is>
          <t>Movements</t>
        </is>
      </c>
      <c r="C7" s="2" t="inlineStr">
        <is>
          <t>International</t>
        </is>
      </c>
      <c r="D7" s="3" t="n">
        <v>465119</v>
      </c>
      <c r="E7" s="3" t="n">
        <v>425172</v>
      </c>
      <c r="F7" s="4">
        <f>IFERROR(ROUND((D7-E7)*100/E7,1)&amp;"%","—")</f>
        <v/>
      </c>
    </row>
    <row r="8" ht="15" customHeight="1">
      <c r="A8" s="2" t="inlineStr">
        <is>
          <t>2025-2026</t>
        </is>
      </c>
      <c r="B8" s="2" t="inlineStr">
        <is>
          <t>Movements</t>
        </is>
      </c>
      <c r="C8" s="2" t="inlineStr">
        <is>
          <t>International</t>
        </is>
      </c>
      <c r="D8" s="3" t="n">
        <v>481280</v>
      </c>
      <c r="E8" s="3" t="n">
        <v>465119</v>
      </c>
      <c r="F8" s="4">
        <f>IFERROR(ROUND((D8-E8)*100/E8,1)&amp;"%","—")</f>
        <v/>
      </c>
    </row>
    <row r="9" ht="8" customHeight="1"/>
    <row r="10" ht="15" customHeight="1">
      <c r="A10" s="2" t="inlineStr">
        <is>
          <t>2019-2020</t>
        </is>
      </c>
      <c r="B10" s="2" t="inlineStr">
        <is>
          <t>Movements</t>
        </is>
      </c>
      <c r="C10" s="2" t="inlineStr">
        <is>
          <t>Domestic</t>
        </is>
      </c>
      <c r="D10" s="3" t="n">
        <v>2155201</v>
      </c>
      <c r="E10" s="3" t="n">
        <v>2153323</v>
      </c>
      <c r="F10" s="4">
        <f>IFERROR(ROUND((D10-E10)*100/E10,1)&amp;"%","—")</f>
        <v/>
      </c>
    </row>
    <row r="11" ht="15" customHeight="1">
      <c r="A11" s="2" t="inlineStr">
        <is>
          <t>2020-2021</t>
        </is>
      </c>
      <c r="B11" s="2" t="inlineStr">
        <is>
          <t>Movements</t>
        </is>
      </c>
      <c r="C11" s="2" t="inlineStr">
        <is>
          <t>Domestic</t>
        </is>
      </c>
      <c r="D11" s="3" t="n">
        <v>1061916</v>
      </c>
      <c r="E11" s="3" t="n">
        <v>2155201</v>
      </c>
      <c r="F11" s="4">
        <f>IFERROR(ROUND((D11-E11)*100/E11,1)&amp;"%","—")</f>
        <v/>
      </c>
    </row>
    <row r="12" ht="15" customHeight="1">
      <c r="A12" s="2" t="inlineStr">
        <is>
          <t>2021-2022</t>
        </is>
      </c>
      <c r="B12" s="2" t="inlineStr">
        <is>
          <t>Movements</t>
        </is>
      </c>
      <c r="C12" s="2" t="inlineStr">
        <is>
          <t>Domestic</t>
        </is>
      </c>
      <c r="D12" s="3" t="n">
        <v>1545276</v>
      </c>
      <c r="E12" s="3" t="n">
        <v>1061916</v>
      </c>
      <c r="F12" s="4">
        <f>IFERROR(ROUND((D12-E12)*100/E12,1)&amp;"%","—")</f>
        <v/>
      </c>
    </row>
    <row r="13" ht="15" customHeight="1">
      <c r="A13" s="2" t="inlineStr">
        <is>
          <t>2022-2023</t>
        </is>
      </c>
      <c r="B13" s="2" t="inlineStr">
        <is>
          <t>Movements</t>
        </is>
      </c>
      <c r="C13" s="2" t="inlineStr">
        <is>
          <t>Domestic</t>
        </is>
      </c>
      <c r="D13" s="3" t="n">
        <v>2143267</v>
      </c>
      <c r="E13" s="3" t="n">
        <v>1545276</v>
      </c>
      <c r="F13" s="4">
        <f>IFERROR(ROUND((D13-E13)*100/E13,1)&amp;"%","—")</f>
        <v/>
      </c>
    </row>
    <row r="14" ht="15" customHeight="1">
      <c r="A14" s="2" t="inlineStr">
        <is>
          <t>2023-2024</t>
        </is>
      </c>
      <c r="B14" s="2" t="inlineStr">
        <is>
          <t>Movements</t>
        </is>
      </c>
      <c r="C14" s="2" t="inlineStr">
        <is>
          <t>Domestic</t>
        </is>
      </c>
      <c r="D14" s="3" t="n">
        <v>2252421</v>
      </c>
      <c r="E14" s="3" t="n">
        <v>2143267</v>
      </c>
      <c r="F14" s="4">
        <f>IFERROR(ROUND((D14-E14)*100/E14,1)&amp;"%","—")</f>
        <v/>
      </c>
    </row>
    <row r="15" ht="15" customHeight="1">
      <c r="A15" s="2" t="inlineStr">
        <is>
          <t>2024-2025</t>
        </is>
      </c>
      <c r="B15" s="2" t="inlineStr">
        <is>
          <t>Movements</t>
        </is>
      </c>
      <c r="C15" s="2" t="inlineStr">
        <is>
          <t>Domestic</t>
        </is>
      </c>
      <c r="D15" s="3" t="n">
        <v>2421934</v>
      </c>
      <c r="E15" s="3" t="n">
        <v>2252421</v>
      </c>
      <c r="F15" s="4">
        <f>IFERROR(ROUND((D15-E15)*100/E15,1)&amp;"%","—")</f>
        <v/>
      </c>
    </row>
    <row r="16" ht="15" customHeight="1">
      <c r="A16" s="2" t="inlineStr">
        <is>
          <t>2025-2026</t>
        </is>
      </c>
      <c r="B16" s="2" t="inlineStr">
        <is>
          <t>Movements</t>
        </is>
      </c>
      <c r="C16" s="2" t="inlineStr">
        <is>
          <t>Domestic</t>
        </is>
      </c>
      <c r="D16" s="3" t="n">
        <v>2423603</v>
      </c>
      <c r="E16" s="3" t="n">
        <v>2421934</v>
      </c>
      <c r="F16" s="4">
        <f>IFERROR(ROUND((D16-E16)*100/E16,1)&amp;"%","—")</f>
        <v/>
      </c>
    </row>
    <row r="17" ht="8" customHeight="1"/>
    <row r="18" ht="15" customHeight="1">
      <c r="A18" s="2" t="inlineStr">
        <is>
          <t>2019-2020</t>
        </is>
      </c>
      <c r="B18" s="2" t="inlineStr">
        <is>
          <t>Passengers</t>
        </is>
      </c>
      <c r="C18" s="2" t="inlineStr">
        <is>
          <t>International</t>
        </is>
      </c>
      <c r="D18" s="3" t="n">
        <v>66543642</v>
      </c>
      <c r="E18" s="3" t="n">
        <v>69480768</v>
      </c>
      <c r="F18" s="4">
        <f>IFERROR(ROUND((D18-E18)*100/E18,1)&amp;"%","—")</f>
        <v/>
      </c>
    </row>
    <row r="19" ht="15" customHeight="1">
      <c r="A19" s="2" t="inlineStr">
        <is>
          <t>2020-2021</t>
        </is>
      </c>
      <c r="B19" s="2" t="inlineStr">
        <is>
          <t>Passengers</t>
        </is>
      </c>
      <c r="C19" s="2" t="inlineStr">
        <is>
          <t>International</t>
        </is>
      </c>
      <c r="D19" s="3" t="n">
        <v>10128283</v>
      </c>
      <c r="E19" s="3" t="n">
        <v>66543642</v>
      </c>
      <c r="F19" s="4">
        <f>IFERROR(ROUND((D19-E19)*100/E19,1)&amp;"%","—")</f>
        <v/>
      </c>
    </row>
    <row r="20" ht="15" customHeight="1">
      <c r="A20" s="2" t="inlineStr">
        <is>
          <t>2021-2022</t>
        </is>
      </c>
      <c r="B20" s="2" t="inlineStr">
        <is>
          <t>Passengers</t>
        </is>
      </c>
      <c r="C20" s="2" t="inlineStr">
        <is>
          <t>International</t>
        </is>
      </c>
      <c r="D20" s="3" t="n">
        <v>22088224</v>
      </c>
      <c r="E20" s="3" t="n">
        <v>10128283</v>
      </c>
      <c r="F20" s="4">
        <f>IFERROR(ROUND((D20-E20)*100/E20,1)&amp;"%","—")</f>
        <v/>
      </c>
    </row>
    <row r="21" ht="15" customHeight="1">
      <c r="A21" s="2" t="inlineStr">
        <is>
          <t>2022-2023</t>
        </is>
      </c>
      <c r="B21" s="2" t="inlineStr">
        <is>
          <t>Passengers</t>
        </is>
      </c>
      <c r="C21" s="2" t="inlineStr">
        <is>
          <t>International</t>
        </is>
      </c>
      <c r="D21" s="3" t="n">
        <v>56939661</v>
      </c>
      <c r="E21" s="3" t="n">
        <v>22088224</v>
      </c>
      <c r="F21" s="4">
        <f>IFERROR(ROUND((D21-E21)*100/E21,1)&amp;"%","—")</f>
        <v/>
      </c>
    </row>
    <row r="22" ht="15" customHeight="1">
      <c r="A22" s="2" t="inlineStr">
        <is>
          <t>2023-2024</t>
        </is>
      </c>
      <c r="B22" s="2" t="inlineStr">
        <is>
          <t>Passengers</t>
        </is>
      </c>
      <c r="C22" s="2" t="inlineStr">
        <is>
          <t>International</t>
        </is>
      </c>
      <c r="D22" s="3" t="n">
        <v>69638262</v>
      </c>
      <c r="E22" s="3" t="n">
        <v>56939661</v>
      </c>
      <c r="F22" s="4">
        <f>IFERROR(ROUND((D22-E22)*100/E22,1)&amp;"%","—")</f>
        <v/>
      </c>
    </row>
    <row r="23" ht="15" customHeight="1">
      <c r="A23" s="2" t="inlineStr">
        <is>
          <t>2024-2025</t>
        </is>
      </c>
      <c r="B23" s="2" t="inlineStr">
        <is>
          <t>Passengers</t>
        </is>
      </c>
      <c r="C23" s="2" t="inlineStr">
        <is>
          <t>International</t>
        </is>
      </c>
      <c r="D23" s="3" t="n">
        <v>77064620</v>
      </c>
      <c r="E23" s="3" t="n">
        <v>69638262</v>
      </c>
      <c r="F23" s="4">
        <f>IFERROR(ROUND((D23-E23)*100/E23,1)&amp;"%","—")</f>
        <v/>
      </c>
    </row>
    <row r="24" ht="15" customHeight="1">
      <c r="A24" s="2" t="inlineStr">
        <is>
          <t>2025-2026</t>
        </is>
      </c>
      <c r="B24" s="2" t="inlineStr">
        <is>
          <t>Passengers</t>
        </is>
      </c>
      <c r="C24" s="2" t="inlineStr">
        <is>
          <t>International</t>
        </is>
      </c>
      <c r="D24" s="3" t="n">
        <v>80641496</v>
      </c>
      <c r="E24" s="3" t="n">
        <v>77064620</v>
      </c>
      <c r="F24" s="4">
        <f>IFERROR(ROUND((D24-E24)*100/E24,1)&amp;"%","—")</f>
        <v/>
      </c>
    </row>
    <row r="25" ht="8" customHeight="1"/>
    <row r="26" ht="15" customHeight="1">
      <c r="A26" s="2" t="inlineStr">
        <is>
          <t>2019-2020</t>
        </is>
      </c>
      <c r="B26" s="2" t="inlineStr">
        <is>
          <t>Passengers</t>
        </is>
      </c>
      <c r="C26" s="2" t="inlineStr">
        <is>
          <t>Domestic</t>
        </is>
      </c>
      <c r="D26" s="3" t="n">
        <v>274507009</v>
      </c>
      <c r="E26" s="3" t="n">
        <v>275218965</v>
      </c>
      <c r="F26" s="4">
        <f>IFERROR(ROUND((D26-E26)*100/E26,1)&amp;"%","—")</f>
        <v/>
      </c>
    </row>
    <row r="27" ht="15" customHeight="1">
      <c r="A27" s="2" t="inlineStr">
        <is>
          <t>2020-2021</t>
        </is>
      </c>
      <c r="B27" s="2" t="inlineStr">
        <is>
          <t>Passengers</t>
        </is>
      </c>
      <c r="C27" s="2" t="inlineStr">
        <is>
          <t>Domestic</t>
        </is>
      </c>
      <c r="D27" s="3" t="n">
        <v>105251500</v>
      </c>
      <c r="E27" s="3" t="n">
        <v>274507009</v>
      </c>
      <c r="F27" s="4">
        <f>IFERROR(ROUND((D27-E27)*100/E27,1)&amp;"%","—")</f>
        <v/>
      </c>
    </row>
    <row r="28" ht="15" customHeight="1">
      <c r="A28" s="2" t="inlineStr">
        <is>
          <t>2021-2022</t>
        </is>
      </c>
      <c r="B28" s="2" t="inlineStr">
        <is>
          <t>Passengers</t>
        </is>
      </c>
      <c r="C28" s="2" t="inlineStr">
        <is>
          <t>Domestic</t>
        </is>
      </c>
      <c r="D28" s="3" t="n">
        <v>166803217</v>
      </c>
      <c r="E28" s="3" t="n">
        <v>105251500</v>
      </c>
      <c r="F28" s="4">
        <f>IFERROR(ROUND((D28-E28)*100/E28,1)&amp;"%","—")</f>
        <v/>
      </c>
    </row>
    <row r="29" ht="15" customHeight="1">
      <c r="A29" s="2" t="inlineStr">
        <is>
          <t>2022-2023</t>
        </is>
      </c>
      <c r="B29" s="2" t="inlineStr">
        <is>
          <t>Passengers</t>
        </is>
      </c>
      <c r="C29" s="2" t="inlineStr">
        <is>
          <t>Domestic</t>
        </is>
      </c>
      <c r="D29" s="3" t="n">
        <v>270339475</v>
      </c>
      <c r="E29" s="3" t="n">
        <v>166803217</v>
      </c>
      <c r="F29" s="4">
        <f>IFERROR(ROUND((D29-E29)*100/E29,1)&amp;"%","—")</f>
        <v/>
      </c>
    </row>
    <row r="30" ht="15" customHeight="1">
      <c r="A30" s="2" t="inlineStr">
        <is>
          <t>2023-2024</t>
        </is>
      </c>
      <c r="B30" s="2" t="inlineStr">
        <is>
          <t>Passengers</t>
        </is>
      </c>
      <c r="C30" s="2" t="inlineStr">
        <is>
          <t>Domestic</t>
        </is>
      </c>
      <c r="D30" s="3" t="n">
        <v>306833845</v>
      </c>
      <c r="E30" s="3" t="n">
        <v>270339475</v>
      </c>
      <c r="F30" s="4">
        <f>IFERROR(ROUND((D30-E30)*100/E30,1)&amp;"%","—")</f>
        <v/>
      </c>
    </row>
    <row r="31" ht="15" customHeight="1">
      <c r="A31" s="2" t="inlineStr">
        <is>
          <t>2024-2025</t>
        </is>
      </c>
      <c r="B31" s="2" t="inlineStr">
        <is>
          <t>Passengers</t>
        </is>
      </c>
      <c r="C31" s="2" t="inlineStr">
        <is>
          <t>Domestic</t>
        </is>
      </c>
      <c r="D31" s="3" t="n">
        <v>334704327</v>
      </c>
      <c r="E31" s="3" t="n">
        <v>306833845</v>
      </c>
      <c r="F31" s="4">
        <f>IFERROR(ROUND((D31-E31)*100/E31,1)&amp;"%","—")</f>
        <v/>
      </c>
    </row>
    <row r="32" ht="15" customHeight="1">
      <c r="A32" s="2" t="inlineStr">
        <is>
          <t>2025-2026</t>
        </is>
      </c>
      <c r="B32" s="2" t="inlineStr">
        <is>
          <t>Passengers</t>
        </is>
      </c>
      <c r="C32" s="2" t="inlineStr">
        <is>
          <t>Domestic</t>
        </is>
      </c>
      <c r="D32" s="3" t="n">
        <v>339446306</v>
      </c>
      <c r="E32" s="3" t="n">
        <v>334704327</v>
      </c>
      <c r="F32" s="4">
        <f>IFERROR(ROUND((D32-E32)*100/E32,1)&amp;"%","—")</f>
        <v/>
      </c>
    </row>
    <row r="33" ht="8" customHeight="1"/>
    <row r="34" ht="15" customHeight="1">
      <c r="A34" s="2" t="inlineStr">
        <is>
          <t>2019-2020</t>
        </is>
      </c>
      <c r="B34" s="2" t="inlineStr">
        <is>
          <t>Freight</t>
        </is>
      </c>
      <c r="C34" s="2" t="inlineStr">
        <is>
          <t>International</t>
        </is>
      </c>
      <c r="D34" s="3" t="n">
        <v>2003123</v>
      </c>
      <c r="E34" s="3" t="n">
        <v>2200187</v>
      </c>
      <c r="F34" s="4">
        <f>IFERROR(ROUND((D34-E34)*100/E34,1)&amp;"%","—")</f>
        <v/>
      </c>
    </row>
    <row r="35" ht="15" customHeight="1">
      <c r="A35" s="2" t="inlineStr">
        <is>
          <t>2020-2021</t>
        </is>
      </c>
      <c r="B35" s="2" t="inlineStr">
        <is>
          <t>Freight</t>
        </is>
      </c>
      <c r="C35" s="2" t="inlineStr">
        <is>
          <t>International</t>
        </is>
      </c>
      <c r="D35" s="3" t="n">
        <v>1521424</v>
      </c>
      <c r="E35" s="3" t="n">
        <v>2003123</v>
      </c>
      <c r="F35" s="4">
        <f>IFERROR(ROUND((D35-E35)*100/E35,1)&amp;"%","—")</f>
        <v/>
      </c>
    </row>
    <row r="36" ht="15" customHeight="1">
      <c r="A36" s="2" t="inlineStr">
        <is>
          <t>2021-2022</t>
        </is>
      </c>
      <c r="B36" s="2" t="inlineStr">
        <is>
          <t>Freight</t>
        </is>
      </c>
      <c r="C36" s="2" t="inlineStr">
        <is>
          <t>International</t>
        </is>
      </c>
      <c r="D36" s="3" t="n">
        <v>196112</v>
      </c>
      <c r="E36" s="3" t="n">
        <v>1521424</v>
      </c>
      <c r="F36" s="4">
        <f>IFERROR(ROUND((D36-E36)*100/E36,1)&amp;"%","—")</f>
        <v/>
      </c>
    </row>
    <row r="37" ht="15" customHeight="1">
      <c r="A37" s="2" t="inlineStr">
        <is>
          <t>2022-2023</t>
        </is>
      </c>
      <c r="B37" s="2" t="inlineStr">
        <is>
          <t>Freight</t>
        </is>
      </c>
      <c r="C37" s="2" t="inlineStr">
        <is>
          <t>International</t>
        </is>
      </c>
      <c r="D37" s="3" t="n">
        <v>1864544</v>
      </c>
      <c r="E37" s="3" t="n">
        <v>196112</v>
      </c>
      <c r="F37" s="4">
        <f>IFERROR(ROUND((D37-E37)*100/E37,1)&amp;"%","—")</f>
        <v/>
      </c>
    </row>
    <row r="38" ht="15" customHeight="1">
      <c r="A38" s="2" t="inlineStr">
        <is>
          <t>2023-2024</t>
        </is>
      </c>
      <c r="B38" s="2" t="inlineStr">
        <is>
          <t>Freight</t>
        </is>
      </c>
      <c r="C38" s="2" t="inlineStr">
        <is>
          <t>International</t>
        </is>
      </c>
      <c r="D38" s="3" t="n">
        <v>2045501</v>
      </c>
      <c r="E38" s="3" t="n">
        <v>1864544</v>
      </c>
      <c r="F38" s="4">
        <f>IFERROR(ROUND((D38-E38)*100/E38,1)&amp;"%","—")</f>
        <v/>
      </c>
    </row>
    <row r="39" ht="15" customHeight="1">
      <c r="A39" s="2" t="inlineStr">
        <is>
          <t>2024-2025</t>
        </is>
      </c>
      <c r="B39" s="2" t="inlineStr">
        <is>
          <t>Freight</t>
        </is>
      </c>
      <c r="C39" s="2" t="inlineStr">
        <is>
          <t>International</t>
        </is>
      </c>
      <c r="D39" s="3" t="n">
        <v>2325096</v>
      </c>
      <c r="E39" s="3" t="n">
        <v>2045501</v>
      </c>
      <c r="F39" s="4">
        <f>IFERROR(ROUND((D39-E39)*100/E39,1)&amp;"%","—")</f>
        <v/>
      </c>
    </row>
    <row r="40" ht="15" customHeight="1">
      <c r="A40" s="2" t="inlineStr">
        <is>
          <t>2025-2026</t>
        </is>
      </c>
      <c r="B40" s="2" t="inlineStr">
        <is>
          <t>Freight</t>
        </is>
      </c>
      <c r="C40" s="2" t="inlineStr">
        <is>
          <t>International</t>
        </is>
      </c>
      <c r="D40" s="3" t="n">
        <v>2451872</v>
      </c>
      <c r="E40" s="3" t="n">
        <v>2325096</v>
      </c>
      <c r="F40" s="4">
        <f>IFERROR(ROUND((D40-E40)*100/E40,1)&amp;"%","—")</f>
        <v/>
      </c>
    </row>
    <row r="41" ht="8" customHeight="1"/>
    <row r="42" ht="15" customHeight="1">
      <c r="A42" s="2" t="inlineStr">
        <is>
          <t>2019-2020</t>
        </is>
      </c>
      <c r="B42" s="2" t="inlineStr">
        <is>
          <t>Freight</t>
        </is>
      </c>
      <c r="C42" s="2" t="inlineStr">
        <is>
          <t>Domestic</t>
        </is>
      </c>
      <c r="D42" s="3" t="n">
        <v>1325173</v>
      </c>
      <c r="E42" s="3" t="n">
        <v>1361714</v>
      </c>
      <c r="F42" s="4">
        <f>IFERROR(ROUND((D42-E42)*100/E42,1)&amp;"%","—")</f>
        <v/>
      </c>
    </row>
    <row r="43" ht="15" customHeight="1">
      <c r="A43" s="2" t="inlineStr">
        <is>
          <t>2020-2021</t>
        </is>
      </c>
      <c r="B43" s="2" t="inlineStr">
        <is>
          <t>Freight</t>
        </is>
      </c>
      <c r="C43" s="2" t="inlineStr">
        <is>
          <t>Domestic</t>
        </is>
      </c>
      <c r="D43" s="3" t="n">
        <v>952487</v>
      </c>
      <c r="E43" s="3" t="n">
        <v>1325173</v>
      </c>
      <c r="F43" s="4">
        <f>IFERROR(ROUND((D43-E43)*100/E43,1)&amp;"%","—")</f>
        <v/>
      </c>
    </row>
    <row r="44" ht="15" customHeight="1">
      <c r="A44" s="2" t="inlineStr">
        <is>
          <t>2021-2022</t>
        </is>
      </c>
      <c r="B44" s="2" t="inlineStr">
        <is>
          <t>Freight</t>
        </is>
      </c>
      <c r="C44" s="2" t="inlineStr">
        <is>
          <t>Domestic</t>
        </is>
      </c>
      <c r="D44" s="3" t="n">
        <v>1179690</v>
      </c>
      <c r="E44" s="3" t="n">
        <v>952487</v>
      </c>
      <c r="F44" s="4">
        <f>IFERROR(ROUND((D44-E44)*100/E44,1)&amp;"%","—")</f>
        <v/>
      </c>
      <c r="H44" s="5" t="inlineStr">
        <is>
          <t>Total CAGR=</t>
        </is>
      </c>
      <c r="I44" s="5">
        <f>ROUND(((D16/D10)^(1/6)-1)*100,2)&amp;"%"</f>
        <v/>
      </c>
    </row>
    <row r="45" ht="15" customHeight="1">
      <c r="A45" s="2" t="inlineStr">
        <is>
          <t>2022-2023</t>
        </is>
      </c>
      <c r="B45" s="2" t="inlineStr">
        <is>
          <t>Freight</t>
        </is>
      </c>
      <c r="C45" s="2" t="inlineStr">
        <is>
          <t>Domestic</t>
        </is>
      </c>
      <c r="D45" s="3" t="n">
        <v>1294045</v>
      </c>
      <c r="E45" s="3" t="n">
        <v>1179690</v>
      </c>
      <c r="F45" s="4">
        <f>IFERROR(ROUND((D45-E45)*100/E45,1)&amp;"%","—")</f>
        <v/>
      </c>
    </row>
    <row r="46" ht="15" customHeight="1">
      <c r="A46" s="2" t="inlineStr">
        <is>
          <t>2023-2024</t>
        </is>
      </c>
      <c r="B46" s="2" t="inlineStr">
        <is>
          <t>Freight</t>
        </is>
      </c>
      <c r="C46" s="2" t="inlineStr">
        <is>
          <t>Domestic</t>
        </is>
      </c>
      <c r="D46" s="3" t="n">
        <v>1320150</v>
      </c>
      <c r="E46" s="3" t="n">
        <v>1294045</v>
      </c>
      <c r="F46" s="4">
        <f>IFERROR(ROUND((D46-E46)*100/E46,1)&amp;"%","—")</f>
        <v/>
      </c>
    </row>
    <row r="47" ht="15" customHeight="1">
      <c r="A47" s="2" t="inlineStr">
        <is>
          <t>2024-2025</t>
        </is>
      </c>
      <c r="B47" s="2" t="inlineStr">
        <is>
          <t>Freight</t>
        </is>
      </c>
      <c r="C47" s="2" t="inlineStr">
        <is>
          <t>Domestic</t>
        </is>
      </c>
      <c r="D47" s="3" t="n">
        <v>1394167</v>
      </c>
      <c r="E47" s="3" t="n">
        <v>1320150</v>
      </c>
      <c r="F47" s="4">
        <f>IFERROR(ROUND((D47-E47)*100/E47,1)&amp;"%","—")</f>
        <v/>
      </c>
    </row>
    <row r="48" ht="15" customHeight="1">
      <c r="A48" s="2" t="inlineStr">
        <is>
          <t>2025-2026</t>
        </is>
      </c>
      <c r="B48" s="2" t="inlineStr">
        <is>
          <t>Freight</t>
        </is>
      </c>
      <c r="C48" s="2" t="inlineStr">
        <is>
          <t>Domestic</t>
        </is>
      </c>
      <c r="D48" s="3" t="n">
        <v>1512474</v>
      </c>
      <c r="E48" s="3" t="n">
        <v>1394167</v>
      </c>
      <c r="F48" s="4">
        <f>IFERROR(ROUND((D48-E48)*100/E48,1)&amp;"%","—")</f>
        <v/>
      </c>
      <c r="H48" s="5" t="inlineStr">
        <is>
          <t>Total CAGR=</t>
        </is>
      </c>
      <c r="I48" s="5">
        <f>ROUND(((D32/D26)^(1/6)-1)*100,2)&amp;"%"</f>
        <v/>
      </c>
    </row>
    <row r="49" ht="8" customHeight="1"/>
    <row r="51" ht="15" customHeight="1">
      <c r="G51" s="6" t="inlineStr">
        <is>
          <t>Total international movements across all 7 years</t>
        </is>
      </c>
      <c r="H51" s="7">
        <f>D2+D3+D4+D5+D6+D7+D8</f>
        <v/>
      </c>
      <c r="I51" s="8">
        <f>ROUND(H51/(H51+H52)*100,5)&amp;"%"</f>
        <v/>
      </c>
    </row>
    <row r="52" ht="15" customHeight="1">
      <c r="G52" s="6" t="inlineStr">
        <is>
          <t>Total domestic movements across all 7 years</t>
        </is>
      </c>
      <c r="H52" s="7">
        <f>D10+D11+D12+D13+D14+D15+D16</f>
        <v/>
      </c>
    </row>
    <row r="53" ht="15" customHeight="1">
      <c r="G53" s="6" t="inlineStr">
        <is>
          <t>Total movements across all 7 years</t>
        </is>
      </c>
      <c r="H53" s="7">
        <f>H51+H52</f>
        <v/>
      </c>
    </row>
    <row r="54" ht="15" customHeight="1">
      <c r="G54" s="6" t="inlineStr">
        <is>
          <t>Average movements in a year</t>
        </is>
      </c>
      <c r="H54" s="7">
        <f>ROUND(H53/7,0)</f>
        <v/>
      </c>
    </row>
    <row r="55" ht="15" customHeight="1">
      <c r="G55" s="6" t="inlineStr">
        <is>
          <t>Total international passengers across all 7 years</t>
        </is>
      </c>
      <c r="H55" s="7">
        <f>D18+D19+D20+D21+D22+D23+D24</f>
        <v/>
      </c>
      <c r="I55" s="8">
        <f>ROUND(H55/(H55+H56)*100,5)&amp;"%"</f>
        <v/>
      </c>
    </row>
    <row r="56" ht="15" customHeight="1">
      <c r="G56" s="6" t="inlineStr">
        <is>
          <t>Total domestic passengers across all 7 years</t>
        </is>
      </c>
      <c r="H56" s="7">
        <f>D26+D27+D28+D29+D30+D31+D32</f>
        <v/>
      </c>
      <c r="I56" s="8">
        <f>ROUND(H56/(H55+H56)*100,5)&amp;"%"</f>
        <v/>
      </c>
    </row>
    <row r="57" ht="15" customHeight="1">
      <c r="G57" s="6" t="inlineStr">
        <is>
          <t>Total passengers across all 7 years</t>
        </is>
      </c>
      <c r="H57" s="7">
        <f>H55+H56</f>
        <v/>
      </c>
    </row>
    <row r="58" ht="15" customHeight="1">
      <c r="G58" s="6" t="inlineStr">
        <is>
          <t>Average passengers in a year</t>
        </is>
      </c>
      <c r="H58" s="7">
        <f>ROUND(H57/7,0)</f>
        <v/>
      </c>
    </row>
    <row r="59" ht="15" customHeight="1">
      <c r="G59" s="6" t="inlineStr">
        <is>
          <t>Year with lowest movement,passengers</t>
        </is>
      </c>
      <c r="H59" s="8" t="inlineStr">
        <is>
          <t>FY 2020-2021</t>
        </is>
      </c>
    </row>
    <row r="60" ht="15" customHeight="1">
      <c r="G60" s="6" t="inlineStr">
        <is>
          <t>Year with highest movement,passengers</t>
        </is>
      </c>
      <c r="H60" s="8" t="inlineStr">
        <is>
          <t>FY 2025-2026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0" customWidth="1" min="5" max="5"/>
  </cols>
  <sheetData>
    <row r="1" ht="16" customHeight="1">
      <c r="A1" s="1" t="inlineStr">
        <is>
          <t>Financial Year</t>
        </is>
      </c>
      <c r="B1" s="1" t="inlineStr">
        <is>
          <t>Region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Share%</t>
        </is>
      </c>
    </row>
    <row r="2" ht="15" customHeight="1">
      <c r="A2" s="2" t="inlineStr">
        <is>
          <t>2019-2020</t>
        </is>
      </c>
      <c r="B2" s="2" t="inlineStr">
        <is>
          <t>Eastern</t>
        </is>
      </c>
      <c r="C2" s="2" t="inlineStr">
        <is>
          <t>Movements</t>
        </is>
      </c>
      <c r="D2" s="3">
        <f>(Sheet1!D2+Sheet1!D10)*E2/100</f>
        <v/>
      </c>
      <c r="E2" s="4" t="n">
        <v>13</v>
      </c>
    </row>
    <row r="3" ht="15" customHeight="1">
      <c r="A3" s="2" t="inlineStr">
        <is>
          <t>2020-2021</t>
        </is>
      </c>
      <c r="B3" s="2" t="inlineStr">
        <is>
          <t>Eastern</t>
        </is>
      </c>
      <c r="C3" s="2" t="inlineStr">
        <is>
          <t>Movements</t>
        </is>
      </c>
      <c r="D3" s="3">
        <f>(Sheet1!D3+Sheet1!D11)*E3/100</f>
        <v/>
      </c>
      <c r="E3" s="4" t="n">
        <v>11.4</v>
      </c>
    </row>
    <row r="4" ht="15" customHeight="1">
      <c r="A4" s="2" t="inlineStr">
        <is>
          <t>2021-2022</t>
        </is>
      </c>
      <c r="B4" s="2" t="inlineStr">
        <is>
          <t>Eastern</t>
        </is>
      </c>
      <c r="C4" s="2" t="inlineStr">
        <is>
          <t>Movements</t>
        </is>
      </c>
      <c r="D4" s="3">
        <f>(Sheet1!D4+Sheet1!D12)*E4/100</f>
        <v/>
      </c>
      <c r="E4" s="4" t="n">
        <v>12</v>
      </c>
    </row>
    <row r="5" ht="15" customHeight="1">
      <c r="A5" s="2" t="inlineStr">
        <is>
          <t>2022-2023</t>
        </is>
      </c>
      <c r="B5" s="2" t="inlineStr">
        <is>
          <t>Eastern</t>
        </is>
      </c>
      <c r="C5" s="2" t="inlineStr">
        <is>
          <t>Movements</t>
        </is>
      </c>
      <c r="D5" s="3">
        <f>(Sheet1!D5+Sheet1!D13)*E5/100</f>
        <v/>
      </c>
      <c r="E5" s="4" t="n">
        <v>10.9</v>
      </c>
    </row>
    <row r="6" ht="15" customHeight="1">
      <c r="A6" s="2" t="inlineStr">
        <is>
          <t>2023-2024</t>
        </is>
      </c>
      <c r="B6" s="2" t="inlineStr">
        <is>
          <t>Eastern</t>
        </is>
      </c>
      <c r="C6" s="2" t="inlineStr">
        <is>
          <t>Movements</t>
        </is>
      </c>
      <c r="D6" s="3">
        <f>(Sheet1!D6+Sheet1!D14)*E6/100</f>
        <v/>
      </c>
      <c r="E6" s="4" t="n">
        <v>10.9</v>
      </c>
    </row>
    <row r="7" ht="15" customHeight="1">
      <c r="A7" s="2" t="inlineStr">
        <is>
          <t>2024-2025</t>
        </is>
      </c>
      <c r="B7" s="2" t="inlineStr">
        <is>
          <t>Eastern</t>
        </is>
      </c>
      <c r="C7" s="2" t="inlineStr">
        <is>
          <t>Movements</t>
        </is>
      </c>
      <c r="D7" s="3">
        <f>(Sheet1!D7+Sheet1!D15)*E7/100</f>
        <v/>
      </c>
      <c r="E7" s="4" t="n">
        <v>10.6</v>
      </c>
    </row>
    <row r="8" ht="15" customHeight="1">
      <c r="A8" s="2" t="inlineStr">
        <is>
          <t>2025-2026</t>
        </is>
      </c>
      <c r="B8" s="2" t="inlineStr">
        <is>
          <t>Eastern</t>
        </is>
      </c>
      <c r="C8" s="2" t="inlineStr">
        <is>
          <t>Movements</t>
        </is>
      </c>
      <c r="D8" s="3">
        <f>(Sheet1!D8+Sheet1!D16)*E8/100</f>
        <v/>
      </c>
      <c r="E8" s="4" t="n">
        <v>11.1</v>
      </c>
    </row>
    <row r="9" ht="8" customHeight="1"/>
    <row r="10" ht="15" customHeight="1">
      <c r="A10" s="2" t="inlineStr">
        <is>
          <t>2019-2020</t>
        </is>
      </c>
      <c r="B10" s="2" t="inlineStr">
        <is>
          <t>Eastern</t>
        </is>
      </c>
      <c r="C10" s="2" t="inlineStr">
        <is>
          <t>Passengers</t>
        </is>
      </c>
      <c r="D10" s="3">
        <f>(Sheet1!D18+Sheet1!D26)*E10/100</f>
        <v/>
      </c>
      <c r="E10" s="4" t="n">
        <v>13.4</v>
      </c>
    </row>
    <row r="11" ht="15" customHeight="1">
      <c r="A11" s="2" t="inlineStr">
        <is>
          <t>2020-2021</t>
        </is>
      </c>
      <c r="B11" s="2" t="inlineStr">
        <is>
          <t>Eastern</t>
        </is>
      </c>
      <c r="C11" s="2" t="inlineStr">
        <is>
          <t>Passengers</t>
        </is>
      </c>
      <c r="D11" s="3">
        <f>(Sheet1!D19+Sheet1!D27)*E11/100</f>
        <v/>
      </c>
      <c r="E11" s="4" t="n">
        <v>14.5</v>
      </c>
    </row>
    <row r="12" ht="15" customHeight="1">
      <c r="A12" s="2" t="inlineStr">
        <is>
          <t>2021-2022</t>
        </is>
      </c>
      <c r="B12" s="2" t="inlineStr">
        <is>
          <t>Eastern</t>
        </is>
      </c>
      <c r="C12" s="2" t="inlineStr">
        <is>
          <t>Passengers</t>
        </is>
      </c>
      <c r="D12" s="3">
        <f>(Sheet1!D20+Sheet1!D28)*E12/100</f>
        <v/>
      </c>
      <c r="E12" s="4" t="n">
        <v>12.3</v>
      </c>
    </row>
    <row r="13" ht="15" customHeight="1">
      <c r="A13" s="2" t="inlineStr">
        <is>
          <t>2022-2023</t>
        </is>
      </c>
      <c r="B13" s="2" t="inlineStr">
        <is>
          <t>Eastern</t>
        </is>
      </c>
      <c r="C13" s="2" t="inlineStr">
        <is>
          <t>Passengers</t>
        </is>
      </c>
      <c r="D13" s="3">
        <f>(Sheet1!D21+Sheet1!D29)*E13/100</f>
        <v/>
      </c>
      <c r="E13" s="4" t="n">
        <v>10.8</v>
      </c>
    </row>
    <row r="14" ht="15" customHeight="1">
      <c r="A14" s="2" t="inlineStr">
        <is>
          <t>2023-2024</t>
        </is>
      </c>
      <c r="B14" s="2" t="inlineStr">
        <is>
          <t>Eastern</t>
        </is>
      </c>
      <c r="C14" s="2" t="inlineStr">
        <is>
          <t>Passengers</t>
        </is>
      </c>
      <c r="D14" s="3">
        <f>(Sheet1!D22+Sheet1!D30)*E14/100</f>
        <v/>
      </c>
      <c r="E14" s="4" t="n">
        <v>10.4</v>
      </c>
    </row>
    <row r="15" ht="15" customHeight="1">
      <c r="A15" s="2" t="inlineStr">
        <is>
          <t>2024-2025</t>
        </is>
      </c>
      <c r="B15" s="2" t="inlineStr">
        <is>
          <t>Eastern</t>
        </is>
      </c>
      <c r="C15" s="2" t="inlineStr">
        <is>
          <t>Passengers</t>
        </is>
      </c>
      <c r="D15" s="3">
        <f>(Sheet1!D23+Sheet1!D31)*E15/100</f>
        <v/>
      </c>
      <c r="E15" s="4" t="n">
        <v>10.5</v>
      </c>
    </row>
    <row r="16" ht="15" customHeight="1">
      <c r="A16" s="2" t="inlineStr">
        <is>
          <t>2025-2026</t>
        </is>
      </c>
      <c r="B16" s="2" t="inlineStr">
        <is>
          <t>Eastern</t>
        </is>
      </c>
      <c r="C16" s="2" t="inlineStr">
        <is>
          <t>Passengers</t>
        </is>
      </c>
      <c r="D16" s="3">
        <f>(Sheet1!D24+Sheet1!D32)*E16/100</f>
        <v/>
      </c>
      <c r="E16" s="4" t="n">
        <v>10.9</v>
      </c>
    </row>
    <row r="17" ht="8" customHeight="1"/>
    <row r="18" ht="15" customHeight="1">
      <c r="A18" s="2" t="inlineStr">
        <is>
          <t>2019-2020</t>
        </is>
      </c>
      <c r="B18" s="2" t="inlineStr">
        <is>
          <t>North East</t>
        </is>
      </c>
      <c r="C18" s="2" t="inlineStr">
        <is>
          <t>Movements</t>
        </is>
      </c>
      <c r="D18" s="3">
        <f>(Sheet1!D2+Sheet1!D10)*E18/100</f>
        <v/>
      </c>
      <c r="E18" s="4" t="n">
        <v>3.6</v>
      </c>
    </row>
    <row r="19" ht="15" customHeight="1">
      <c r="A19" s="2" t="inlineStr">
        <is>
          <t>2020-2021</t>
        </is>
      </c>
      <c r="B19" s="2" t="inlineStr">
        <is>
          <t>North East</t>
        </is>
      </c>
      <c r="C19" s="2" t="inlineStr">
        <is>
          <t>Movements</t>
        </is>
      </c>
      <c r="D19" s="3">
        <f>(Sheet1!D3+Sheet1!D11)*E19/100</f>
        <v/>
      </c>
      <c r="E19" s="4" t="n">
        <v>3.8</v>
      </c>
    </row>
    <row r="20" ht="15" customHeight="1">
      <c r="A20" s="2" t="inlineStr">
        <is>
          <t>2021-2022</t>
        </is>
      </c>
      <c r="B20" s="2" t="inlineStr">
        <is>
          <t>North East</t>
        </is>
      </c>
      <c r="C20" s="2" t="inlineStr">
        <is>
          <t>Movements</t>
        </is>
      </c>
      <c r="D20" s="3">
        <f>(Sheet1!D4+Sheet1!D12)*E20/100</f>
        <v/>
      </c>
      <c r="E20" s="4" t="n">
        <v>4.1</v>
      </c>
    </row>
    <row r="21" ht="15" customHeight="1">
      <c r="A21" s="2" t="inlineStr">
        <is>
          <t>2022-2023</t>
        </is>
      </c>
      <c r="B21" s="2" t="inlineStr">
        <is>
          <t>North East</t>
        </is>
      </c>
      <c r="C21" s="2" t="inlineStr">
        <is>
          <t>Movements</t>
        </is>
      </c>
      <c r="D21" s="3">
        <f>(Sheet1!D5+Sheet1!D13)*E21/100</f>
        <v/>
      </c>
      <c r="E21" s="4" t="n">
        <v>3.7</v>
      </c>
    </row>
    <row r="22" ht="15" customHeight="1">
      <c r="A22" s="2" t="inlineStr">
        <is>
          <t>2023-2024</t>
        </is>
      </c>
      <c r="B22" s="2" t="inlineStr">
        <is>
          <t>North East</t>
        </is>
      </c>
      <c r="C22" s="2" t="inlineStr">
        <is>
          <t>Movements</t>
        </is>
      </c>
      <c r="D22" s="3">
        <f>(Sheet1!D6+Sheet1!D14)*E22/100</f>
        <v/>
      </c>
      <c r="E22" s="4" t="n">
        <v>3.9</v>
      </c>
    </row>
    <row r="23" ht="15" customHeight="1">
      <c r="A23" s="2" t="inlineStr">
        <is>
          <t>2024-2025</t>
        </is>
      </c>
      <c r="B23" s="2" t="inlineStr">
        <is>
          <t>North East</t>
        </is>
      </c>
      <c r="C23" s="2" t="inlineStr">
        <is>
          <t>Movements</t>
        </is>
      </c>
      <c r="D23" s="3">
        <f>(Sheet1!D7+Sheet1!D15)*E23/100</f>
        <v/>
      </c>
      <c r="E23" s="4" t="n">
        <v>3.6</v>
      </c>
    </row>
    <row r="24" ht="15" customHeight="1">
      <c r="A24" s="2" t="inlineStr">
        <is>
          <t>2025-2026</t>
        </is>
      </c>
      <c r="B24" s="2" t="inlineStr">
        <is>
          <t>North East</t>
        </is>
      </c>
      <c r="C24" s="2" t="inlineStr">
        <is>
          <t>Movements</t>
        </is>
      </c>
      <c r="D24" s="3">
        <f>(Sheet1!D8+Sheet1!D16)*E24/100</f>
        <v/>
      </c>
      <c r="E24" s="4" t="n">
        <v>3.2</v>
      </c>
    </row>
    <row r="25" ht="8" customHeight="1"/>
    <row r="26" ht="15" customHeight="1">
      <c r="A26" s="2" t="inlineStr">
        <is>
          <t>2019-2020</t>
        </is>
      </c>
      <c r="B26" s="2" t="inlineStr">
        <is>
          <t>North East</t>
        </is>
      </c>
      <c r="C26" s="2" t="inlineStr">
        <is>
          <t>Passengers</t>
        </is>
      </c>
      <c r="D26" s="3">
        <f>(Sheet1!D18+Sheet1!D26)*E26/100</f>
        <v/>
      </c>
      <c r="E26" s="4" t="n">
        <v>3.4</v>
      </c>
    </row>
    <row r="27" ht="15" customHeight="1">
      <c r="A27" s="2" t="inlineStr">
        <is>
          <t>2020-2021</t>
        </is>
      </c>
      <c r="B27" s="2" t="inlineStr">
        <is>
          <t>North East</t>
        </is>
      </c>
      <c r="C27" s="2" t="inlineStr">
        <is>
          <t>Passengers</t>
        </is>
      </c>
      <c r="D27" s="3">
        <f>(Sheet1!D19+Sheet1!D27)*E27/100</f>
        <v/>
      </c>
      <c r="E27" s="4" t="n">
        <v>3.6</v>
      </c>
    </row>
    <row r="28" ht="15" customHeight="1">
      <c r="A28" s="2" t="inlineStr">
        <is>
          <t>2021-2022</t>
        </is>
      </c>
      <c r="B28" s="2" t="inlineStr">
        <is>
          <t>North East</t>
        </is>
      </c>
      <c r="C28" s="2" t="inlineStr">
        <is>
          <t>Passengers</t>
        </is>
      </c>
      <c r="D28" s="3">
        <f>(Sheet1!D20+Sheet1!D28)*E28/100</f>
        <v/>
      </c>
      <c r="E28" s="4" t="n">
        <v>3.2</v>
      </c>
    </row>
    <row r="29" ht="15" customHeight="1">
      <c r="A29" s="2" t="inlineStr">
        <is>
          <t>2022-2023</t>
        </is>
      </c>
      <c r="B29" s="2" t="inlineStr">
        <is>
          <t>North East</t>
        </is>
      </c>
      <c r="C29" s="2" t="inlineStr">
        <is>
          <t>Passengers</t>
        </is>
      </c>
      <c r="D29" s="3">
        <f>(Sheet1!D21+Sheet1!D29)*E29/100</f>
        <v/>
      </c>
      <c r="E29" s="4" t="n">
        <v>3</v>
      </c>
    </row>
    <row r="30" ht="15" customHeight="1">
      <c r="A30" s="2" t="inlineStr">
        <is>
          <t>2023-2024</t>
        </is>
      </c>
      <c r="B30" s="2" t="inlineStr">
        <is>
          <t>North East</t>
        </is>
      </c>
      <c r="C30" s="2" t="inlineStr">
        <is>
          <t>Passengers</t>
        </is>
      </c>
      <c r="D30" s="3">
        <f>(Sheet1!D22+Sheet1!D30)*E30/100</f>
        <v/>
      </c>
      <c r="E30" s="4" t="n">
        <v>3</v>
      </c>
    </row>
    <row r="31" ht="15" customHeight="1">
      <c r="A31" s="2" t="inlineStr">
        <is>
          <t>2024-2025</t>
        </is>
      </c>
      <c r="B31" s="2" t="inlineStr">
        <is>
          <t>North East</t>
        </is>
      </c>
      <c r="C31" s="2" t="inlineStr">
        <is>
          <t>Passengers</t>
        </is>
      </c>
      <c r="D31" s="3">
        <f>(Sheet1!D23+Sheet1!D31)*E31/100</f>
        <v/>
      </c>
      <c r="E31" s="4" t="n">
        <v>3</v>
      </c>
    </row>
    <row r="32" ht="15" customHeight="1">
      <c r="A32" s="2" t="inlineStr">
        <is>
          <t>2025-2026</t>
        </is>
      </c>
      <c r="B32" s="2" t="inlineStr">
        <is>
          <t>North East</t>
        </is>
      </c>
      <c r="C32" s="2" t="inlineStr">
        <is>
          <t>Passengers</t>
        </is>
      </c>
      <c r="D32" s="3">
        <f>(Sheet1!D24+Sheet1!D32)*E32/100</f>
        <v/>
      </c>
      <c r="E32" s="4" t="n">
        <v>3</v>
      </c>
    </row>
    <row r="33" ht="8" customHeight="1"/>
    <row r="34" ht="15" customHeight="1">
      <c r="A34" s="2" t="inlineStr">
        <is>
          <t>2019-2020</t>
        </is>
      </c>
      <c r="B34" s="2" t="inlineStr">
        <is>
          <t>North</t>
        </is>
      </c>
      <c r="C34" s="2" t="inlineStr">
        <is>
          <t>Movements</t>
        </is>
      </c>
      <c r="D34" s="3">
        <f>(Sheet1!D2+Sheet1!D10)*E34/100</f>
        <v/>
      </c>
      <c r="E34" s="4" t="n">
        <v>27</v>
      </c>
    </row>
    <row r="35" ht="15" customHeight="1">
      <c r="A35" s="2" t="inlineStr">
        <is>
          <t>2020-2021</t>
        </is>
      </c>
      <c r="B35" s="2" t="inlineStr">
        <is>
          <t>North</t>
        </is>
      </c>
      <c r="C35" s="2" t="inlineStr">
        <is>
          <t>Movements</t>
        </is>
      </c>
      <c r="D35" s="3">
        <f>(Sheet1!D3+Sheet1!D11)*E35/100</f>
        <v/>
      </c>
      <c r="E35" s="4" t="n">
        <v>25.6</v>
      </c>
    </row>
    <row r="36" ht="15" customHeight="1">
      <c r="A36" s="2" t="inlineStr">
        <is>
          <t>2021-2022</t>
        </is>
      </c>
      <c r="B36" s="2" t="inlineStr">
        <is>
          <t>North</t>
        </is>
      </c>
      <c r="C36" s="2" t="inlineStr">
        <is>
          <t>Movements</t>
        </is>
      </c>
      <c r="D36" s="3">
        <f>(Sheet1!D4+Sheet1!D12)*E36/100</f>
        <v/>
      </c>
      <c r="E36" s="4" t="n">
        <v>30.3</v>
      </c>
    </row>
    <row r="37" ht="15" customHeight="1">
      <c r="A37" s="2" t="inlineStr">
        <is>
          <t>2022-2023</t>
        </is>
      </c>
      <c r="B37" s="2" t="inlineStr">
        <is>
          <t>North</t>
        </is>
      </c>
      <c r="C37" s="2" t="inlineStr">
        <is>
          <t>Movements</t>
        </is>
      </c>
      <c r="D37" s="3">
        <f>(Sheet1!D5+Sheet1!D13)*E37/100</f>
        <v/>
      </c>
      <c r="E37" s="4" t="n">
        <v>27.2</v>
      </c>
    </row>
    <row r="38" ht="15" customHeight="1">
      <c r="A38" s="2" t="inlineStr">
        <is>
          <t>2023-2024</t>
        </is>
      </c>
      <c r="B38" s="2" t="inlineStr">
        <is>
          <t>North</t>
        </is>
      </c>
      <c r="C38" s="2" t="inlineStr">
        <is>
          <t>Movements</t>
        </is>
      </c>
      <c r="D38" s="3">
        <f>(Sheet1!D6+Sheet1!D14)*E38/100</f>
        <v/>
      </c>
      <c r="E38" s="4" t="n">
        <v>27</v>
      </c>
    </row>
    <row r="39" ht="15" customHeight="1">
      <c r="A39" s="2" t="inlineStr">
        <is>
          <t>2024-2025</t>
        </is>
      </c>
      <c r="B39" s="2" t="inlineStr">
        <is>
          <t>North</t>
        </is>
      </c>
      <c r="C39" s="2" t="inlineStr">
        <is>
          <t>Movements</t>
        </is>
      </c>
      <c r="D39" s="3">
        <f>(Sheet1!D7+Sheet1!D15)*E39/100</f>
        <v/>
      </c>
      <c r="E39" s="4" t="n">
        <v>27.2</v>
      </c>
    </row>
    <row r="40" ht="15" customHeight="1">
      <c r="A40" s="2" t="inlineStr">
        <is>
          <t>2025-2026</t>
        </is>
      </c>
      <c r="B40" s="2" t="inlineStr">
        <is>
          <t>North</t>
        </is>
      </c>
      <c r="C40" s="2" t="inlineStr">
        <is>
          <t>Movements</t>
        </is>
      </c>
      <c r="D40" s="3">
        <f>(Sheet1!D8+Sheet1!D16)*E40/100</f>
        <v/>
      </c>
      <c r="E40" s="4" t="n">
        <v>26.9</v>
      </c>
    </row>
    <row r="41" ht="8" customHeight="1"/>
    <row r="42" ht="15" customHeight="1">
      <c r="A42" s="2" t="inlineStr">
        <is>
          <t>2019-2020</t>
        </is>
      </c>
      <c r="B42" s="2" t="inlineStr">
        <is>
          <t>North</t>
        </is>
      </c>
      <c r="C42" s="2" t="inlineStr">
        <is>
          <t>Passengers</t>
        </is>
      </c>
      <c r="D42" s="3">
        <f>(Sheet1!D18+Sheet1!D26)*E42/100</f>
        <v/>
      </c>
      <c r="E42" s="4" t="n">
        <v>29.7</v>
      </c>
    </row>
    <row r="43" ht="15" customHeight="1">
      <c r="A43" s="2" t="inlineStr">
        <is>
          <t>2020-2021</t>
        </is>
      </c>
      <c r="B43" s="2" t="inlineStr">
        <is>
          <t>North</t>
        </is>
      </c>
      <c r="C43" s="2" t="inlineStr">
        <is>
          <t>Passengers</t>
        </is>
      </c>
      <c r="D43" s="3">
        <f>(Sheet1!D19+Sheet1!D27)*E43/100</f>
        <v/>
      </c>
      <c r="E43" s="4" t="n">
        <v>22.1</v>
      </c>
    </row>
    <row r="44" ht="15" customHeight="1">
      <c r="A44" s="2" t="inlineStr">
        <is>
          <t>2021-2022</t>
        </is>
      </c>
      <c r="B44" s="2" t="inlineStr">
        <is>
          <t>North</t>
        </is>
      </c>
      <c r="C44" s="2" t="inlineStr">
        <is>
          <t>Passengers</t>
        </is>
      </c>
      <c r="D44" s="3">
        <f>(Sheet1!D20+Sheet1!D28)*E44/100</f>
        <v/>
      </c>
      <c r="E44" s="4" t="n">
        <v>32.3</v>
      </c>
    </row>
    <row r="45" ht="15" customHeight="1">
      <c r="A45" s="2" t="inlineStr">
        <is>
          <t>2022-2023</t>
        </is>
      </c>
      <c r="B45" s="2" t="inlineStr">
        <is>
          <t>North</t>
        </is>
      </c>
      <c r="C45" s="2" t="inlineStr">
        <is>
          <t>Passengers</t>
        </is>
      </c>
      <c r="D45" s="3">
        <f>(Sheet1!D21+Sheet1!D29)*E45/100</f>
        <v/>
      </c>
      <c r="E45" s="4" t="n">
        <v>29.9</v>
      </c>
    </row>
    <row r="46" ht="15" customHeight="1">
      <c r="A46" s="2" t="inlineStr">
        <is>
          <t>2023-2024</t>
        </is>
      </c>
      <c r="B46" s="2" t="inlineStr">
        <is>
          <t>North</t>
        </is>
      </c>
      <c r="C46" s="2" t="inlineStr">
        <is>
          <t>Passengers</t>
        </is>
      </c>
      <c r="D46" s="3">
        <f>(Sheet1!D22+Sheet1!D30)*E46/100</f>
        <v/>
      </c>
      <c r="E46" s="4" t="n">
        <v>29</v>
      </c>
    </row>
    <row r="47" ht="15" customHeight="1">
      <c r="A47" s="2" t="inlineStr">
        <is>
          <t>2024-2025</t>
        </is>
      </c>
      <c r="B47" s="2" t="inlineStr">
        <is>
          <t>North</t>
        </is>
      </c>
      <c r="C47" s="2" t="inlineStr">
        <is>
          <t>Passengers</t>
        </is>
      </c>
      <c r="D47" s="3">
        <f>(Sheet1!D23+Sheet1!D31)*E47/100</f>
        <v/>
      </c>
      <c r="E47" s="4" t="n">
        <v>30</v>
      </c>
    </row>
    <row r="48" ht="15" customHeight="1">
      <c r="A48" s="2" t="inlineStr">
        <is>
          <t>2025-2026</t>
        </is>
      </c>
      <c r="B48" s="2" t="inlineStr">
        <is>
          <t>North</t>
        </is>
      </c>
      <c r="C48" s="2" t="inlineStr">
        <is>
          <t>Passengers</t>
        </is>
      </c>
      <c r="D48" s="3">
        <f>(Sheet1!D24+Sheet1!D32)*E48/100</f>
        <v/>
      </c>
      <c r="E48" s="4" t="n">
        <v>29.7</v>
      </c>
    </row>
    <row r="49" ht="8" customHeight="1"/>
    <row r="50" ht="15" customHeight="1">
      <c r="A50" s="2" t="inlineStr">
        <is>
          <t>2019-2020</t>
        </is>
      </c>
      <c r="B50" s="2" t="inlineStr">
        <is>
          <t>South</t>
        </is>
      </c>
      <c r="C50" s="2" t="inlineStr">
        <is>
          <t>Movements</t>
        </is>
      </c>
      <c r="D50" s="3">
        <f>(Sheet1!D2+Sheet1!D10)*E50/100</f>
        <v/>
      </c>
      <c r="E50" s="4" t="n">
        <v>32.5</v>
      </c>
    </row>
    <row r="51" ht="15" customHeight="1">
      <c r="A51" s="2" t="inlineStr">
        <is>
          <t>2020-2021</t>
        </is>
      </c>
      <c r="B51" s="2" t="inlineStr">
        <is>
          <t>South</t>
        </is>
      </c>
      <c r="C51" s="2" t="inlineStr">
        <is>
          <t>Movements</t>
        </is>
      </c>
      <c r="D51" s="3">
        <f>(Sheet1!D3+Sheet1!D11)*E51/100</f>
        <v/>
      </c>
      <c r="E51" s="4" t="n">
        <v>30.6</v>
      </c>
    </row>
    <row r="52" ht="15" customHeight="1">
      <c r="A52" s="2" t="inlineStr">
        <is>
          <t>2021-2022</t>
        </is>
      </c>
      <c r="B52" s="2" t="inlineStr">
        <is>
          <t>South</t>
        </is>
      </c>
      <c r="C52" s="2" t="inlineStr">
        <is>
          <t>Movements</t>
        </is>
      </c>
      <c r="D52" s="3">
        <f>(Sheet1!D4+Sheet1!D12)*E52/100</f>
        <v/>
      </c>
      <c r="E52" s="4" t="n">
        <v>30.5</v>
      </c>
    </row>
    <row r="53" ht="15" customHeight="1">
      <c r="A53" s="2" t="inlineStr">
        <is>
          <t>2022-2023</t>
        </is>
      </c>
      <c r="B53" s="2" t="inlineStr">
        <is>
          <t>South</t>
        </is>
      </c>
      <c r="C53" s="2" t="inlineStr">
        <is>
          <t>Movements</t>
        </is>
      </c>
      <c r="D53" s="3">
        <f>(Sheet1!D5+Sheet1!D13)*E53/100</f>
        <v/>
      </c>
      <c r="E53" s="4" t="n">
        <v>32.3</v>
      </c>
    </row>
    <row r="54" ht="15" customHeight="1">
      <c r="A54" s="2" t="inlineStr">
        <is>
          <t>2023-2024</t>
        </is>
      </c>
      <c r="B54" s="2" t="inlineStr">
        <is>
          <t>South</t>
        </is>
      </c>
      <c r="C54" s="2" t="inlineStr">
        <is>
          <t>Movements</t>
        </is>
      </c>
      <c r="D54" s="3">
        <f>(Sheet1!D6+Sheet1!D14)*E54/100</f>
        <v/>
      </c>
      <c r="E54" s="4" t="n">
        <v>31.7</v>
      </c>
    </row>
    <row r="55" ht="15" customHeight="1">
      <c r="A55" s="2" t="inlineStr">
        <is>
          <t>2024-2025</t>
        </is>
      </c>
      <c r="B55" s="2" t="inlineStr">
        <is>
          <t>South</t>
        </is>
      </c>
      <c r="C55" s="2" t="inlineStr">
        <is>
          <t>Movements</t>
        </is>
      </c>
      <c r="D55" s="3">
        <f>(Sheet1!D7+Sheet1!D15)*E55/100</f>
        <v/>
      </c>
      <c r="E55" s="4" t="n">
        <v>31.8</v>
      </c>
    </row>
    <row r="56" ht="15" customHeight="1">
      <c r="A56" s="2" t="inlineStr">
        <is>
          <t>2025-2026</t>
        </is>
      </c>
      <c r="B56" s="2" t="inlineStr">
        <is>
          <t>South</t>
        </is>
      </c>
      <c r="C56" s="2" t="inlineStr">
        <is>
          <t>Movements</t>
        </is>
      </c>
      <c r="D56" s="3">
        <f>(Sheet1!D8+Sheet1!D16)*E56/100</f>
        <v/>
      </c>
      <c r="E56" s="4" t="n">
        <v>32.9</v>
      </c>
    </row>
    <row r="57" ht="8" customHeight="1"/>
    <row r="58" ht="15" customHeight="1">
      <c r="A58" s="2" t="inlineStr">
        <is>
          <t>2019-2020</t>
        </is>
      </c>
      <c r="B58" s="2" t="inlineStr">
        <is>
          <t>South</t>
        </is>
      </c>
      <c r="C58" s="2" t="inlineStr">
        <is>
          <t>Passengers</t>
        </is>
      </c>
      <c r="D58" s="3">
        <f>(Sheet1!D18+Sheet1!D26)*E58/100</f>
        <v/>
      </c>
      <c r="E58" s="4" t="n">
        <v>28.9</v>
      </c>
    </row>
    <row r="59" ht="15" customHeight="1">
      <c r="A59" s="2" t="inlineStr">
        <is>
          <t>2020-2021</t>
        </is>
      </c>
      <c r="B59" s="2" t="inlineStr">
        <is>
          <t>South</t>
        </is>
      </c>
      <c r="C59" s="2" t="inlineStr">
        <is>
          <t>Passengers</t>
        </is>
      </c>
      <c r="D59" s="3">
        <f>(Sheet1!D19+Sheet1!D27)*E59/100</f>
        <v/>
      </c>
      <c r="E59" s="4" t="n">
        <v>29.2</v>
      </c>
    </row>
    <row r="60" ht="15" customHeight="1">
      <c r="A60" s="2" t="inlineStr">
        <is>
          <t>2021-2022</t>
        </is>
      </c>
      <c r="B60" s="2" t="inlineStr">
        <is>
          <t>South</t>
        </is>
      </c>
      <c r="C60" s="2" t="inlineStr">
        <is>
          <t>Passengers</t>
        </is>
      </c>
      <c r="D60" s="3">
        <f>(Sheet1!D20+Sheet1!D28)*E60/100</f>
        <v/>
      </c>
      <c r="E60" s="4" t="n">
        <v>28.9</v>
      </c>
    </row>
    <row r="61" ht="15" customHeight="1">
      <c r="A61" s="2" t="inlineStr">
        <is>
          <t>2022-2023</t>
        </is>
      </c>
      <c r="B61" s="2" t="inlineStr">
        <is>
          <t>South</t>
        </is>
      </c>
      <c r="C61" s="2" t="inlineStr">
        <is>
          <t>Passengers</t>
        </is>
      </c>
      <c r="D61" s="3">
        <f>(Sheet1!D21+Sheet1!D29)*E61/100</f>
        <v/>
      </c>
      <c r="E61" s="4" t="n">
        <v>30.9</v>
      </c>
    </row>
    <row r="62" ht="15" customHeight="1">
      <c r="A62" s="2" t="inlineStr">
        <is>
          <t>2023-2024</t>
        </is>
      </c>
      <c r="B62" s="2" t="inlineStr">
        <is>
          <t>South</t>
        </is>
      </c>
      <c r="C62" s="2" t="inlineStr">
        <is>
          <t>Passengers</t>
        </is>
      </c>
      <c r="D62" s="3">
        <f>(Sheet1!D22+Sheet1!D30)*E62/100</f>
        <v/>
      </c>
      <c r="E62" s="4" t="n">
        <v>31.2</v>
      </c>
    </row>
    <row r="63" ht="15" customHeight="1">
      <c r="A63" s="2" t="inlineStr">
        <is>
          <t>2024-2025</t>
        </is>
      </c>
      <c r="B63" s="2" t="inlineStr">
        <is>
          <t>South</t>
        </is>
      </c>
      <c r="C63" s="2" t="inlineStr">
        <is>
          <t>Passengers</t>
        </is>
      </c>
      <c r="D63" s="3">
        <f>(Sheet1!D23+Sheet1!D31)*E63/100</f>
        <v/>
      </c>
      <c r="E63" s="4" t="n">
        <v>30.4</v>
      </c>
    </row>
    <row r="64" ht="15" customHeight="1">
      <c r="A64" s="2" t="inlineStr">
        <is>
          <t>2025-2026</t>
        </is>
      </c>
      <c r="B64" s="2" t="inlineStr">
        <is>
          <t>South</t>
        </is>
      </c>
      <c r="C64" s="2" t="inlineStr">
        <is>
          <t>Passengers</t>
        </is>
      </c>
      <c r="D64" s="3">
        <f>(Sheet1!D24+Sheet1!D32)*E64/100</f>
        <v/>
      </c>
      <c r="E64" s="4" t="n">
        <v>31.1</v>
      </c>
    </row>
    <row r="65" ht="8" customHeight="1"/>
    <row r="66" ht="15" customHeight="1">
      <c r="A66" s="2" t="inlineStr">
        <is>
          <t>2019-2020</t>
        </is>
      </c>
      <c r="B66" s="2" t="inlineStr">
        <is>
          <t>West</t>
        </is>
      </c>
      <c r="C66" s="2" t="inlineStr">
        <is>
          <t>Movements</t>
        </is>
      </c>
      <c r="D66" s="3">
        <f>(Sheet1!D2+Sheet1!D10)*E66/100</f>
        <v/>
      </c>
      <c r="E66" s="4" t="n">
        <v>24.4</v>
      </c>
    </row>
    <row r="67" ht="15" customHeight="1">
      <c r="A67" s="2" t="inlineStr">
        <is>
          <t>2020-2021</t>
        </is>
      </c>
      <c r="B67" s="2" t="inlineStr">
        <is>
          <t>West</t>
        </is>
      </c>
      <c r="C67" s="2" t="inlineStr">
        <is>
          <t>Movements</t>
        </is>
      </c>
      <c r="D67" s="3">
        <f>(Sheet1!D3+Sheet1!D11)*E67/100</f>
        <v/>
      </c>
      <c r="E67" s="4" t="n">
        <v>28.5</v>
      </c>
    </row>
    <row r="68" ht="15" customHeight="1">
      <c r="A68" s="2" t="inlineStr">
        <is>
          <t>2021-2022</t>
        </is>
      </c>
      <c r="B68" s="2" t="inlineStr">
        <is>
          <t>West</t>
        </is>
      </c>
      <c r="C68" s="2" t="inlineStr">
        <is>
          <t>Movements</t>
        </is>
      </c>
      <c r="D68" s="3">
        <f>(Sheet1!D4+Sheet1!D12)*E68/100</f>
        <v/>
      </c>
      <c r="E68" s="4" t="n">
        <v>23.1</v>
      </c>
    </row>
    <row r="69" ht="15" customHeight="1">
      <c r="A69" s="2" t="inlineStr">
        <is>
          <t>2022-2023</t>
        </is>
      </c>
      <c r="B69" s="2" t="inlineStr">
        <is>
          <t>West</t>
        </is>
      </c>
      <c r="C69" s="2" t="inlineStr">
        <is>
          <t>Movements</t>
        </is>
      </c>
      <c r="D69" s="3">
        <f>(Sheet1!D5+Sheet1!D13)*E69/100</f>
        <v/>
      </c>
      <c r="E69" s="4" t="n">
        <v>25.8</v>
      </c>
    </row>
    <row r="70" ht="15" customHeight="1">
      <c r="A70" s="2" t="inlineStr">
        <is>
          <t>2023-2024</t>
        </is>
      </c>
      <c r="B70" s="2" t="inlineStr">
        <is>
          <t>West</t>
        </is>
      </c>
      <c r="C70" s="2" t="inlineStr">
        <is>
          <t>Movements</t>
        </is>
      </c>
      <c r="D70" s="3">
        <f>(Sheet1!D6+Sheet1!D14)*E70/100</f>
        <v/>
      </c>
      <c r="E70" s="4" t="n">
        <v>26.5</v>
      </c>
    </row>
    <row r="71" ht="15" customHeight="1">
      <c r="A71" s="2" t="inlineStr">
        <is>
          <t>2024-2025</t>
        </is>
      </c>
      <c r="B71" s="2" t="inlineStr">
        <is>
          <t>West</t>
        </is>
      </c>
      <c r="C71" s="2" t="inlineStr">
        <is>
          <t>Movements</t>
        </is>
      </c>
      <c r="D71" s="3">
        <f>(Sheet1!D7+Sheet1!D15)*E71/100</f>
        <v/>
      </c>
      <c r="E71" s="4" t="n">
        <v>26.8</v>
      </c>
    </row>
    <row r="72" ht="15" customHeight="1">
      <c r="A72" s="2" t="inlineStr">
        <is>
          <t>2025-2026</t>
        </is>
      </c>
      <c r="B72" s="2" t="inlineStr">
        <is>
          <t>West</t>
        </is>
      </c>
      <c r="C72" s="2" t="inlineStr">
        <is>
          <t>Movements</t>
        </is>
      </c>
      <c r="D72" s="3">
        <f>(Sheet1!D8+Sheet1!D16)*E72/100</f>
        <v/>
      </c>
      <c r="E72" s="4" t="n">
        <v>26</v>
      </c>
    </row>
    <row r="73" ht="8" customHeight="1"/>
    <row r="74" ht="15" customHeight="1">
      <c r="A74" s="2" t="inlineStr">
        <is>
          <t>2019-2020</t>
        </is>
      </c>
      <c r="B74" s="2" t="inlineStr">
        <is>
          <t>West</t>
        </is>
      </c>
      <c r="C74" s="2" t="inlineStr">
        <is>
          <t>Passengers</t>
        </is>
      </c>
      <c r="D74" s="3">
        <f>(Sheet1!D18+Sheet1!D26)*E74/100</f>
        <v/>
      </c>
      <c r="E74" s="4" t="n">
        <v>24.6</v>
      </c>
    </row>
    <row r="75" ht="15" customHeight="1">
      <c r="A75" s="2" t="inlineStr">
        <is>
          <t>2020-2021</t>
        </is>
      </c>
      <c r="B75" s="2" t="inlineStr">
        <is>
          <t>West</t>
        </is>
      </c>
      <c r="C75" s="2" t="inlineStr">
        <is>
          <t>Passengers</t>
        </is>
      </c>
      <c r="D75" s="3">
        <f>(Sheet1!D19+Sheet1!D27)*E75/100</f>
        <v/>
      </c>
      <c r="E75" s="4" t="n">
        <v>30.7</v>
      </c>
    </row>
    <row r="76" ht="15" customHeight="1">
      <c r="A76" s="2" t="inlineStr">
        <is>
          <t>2021-2022</t>
        </is>
      </c>
      <c r="B76" s="2" t="inlineStr">
        <is>
          <t>West</t>
        </is>
      </c>
      <c r="C76" s="2" t="inlineStr">
        <is>
          <t>Passengers</t>
        </is>
      </c>
      <c r="D76" s="3">
        <f>(Sheet1!D20+Sheet1!D28)*E76/100</f>
        <v/>
      </c>
      <c r="E76" s="4" t="n">
        <v>23.1</v>
      </c>
    </row>
    <row r="77" ht="15" customHeight="1">
      <c r="A77" s="2" t="inlineStr">
        <is>
          <t>2022-2023</t>
        </is>
      </c>
      <c r="B77" s="2" t="inlineStr">
        <is>
          <t>West</t>
        </is>
      </c>
      <c r="C77" s="2" t="inlineStr">
        <is>
          <t>Passengers</t>
        </is>
      </c>
      <c r="D77" s="3">
        <f>(Sheet1!D21+Sheet1!D29)*E77/100</f>
        <v/>
      </c>
      <c r="E77" s="4" t="n">
        <v>25.4</v>
      </c>
    </row>
    <row r="78" ht="15" customHeight="1">
      <c r="A78" s="2" t="inlineStr">
        <is>
          <t>2023-2024</t>
        </is>
      </c>
      <c r="B78" s="2" t="inlineStr">
        <is>
          <t>West</t>
        </is>
      </c>
      <c r="C78" s="2" t="inlineStr">
        <is>
          <t>Passengers</t>
        </is>
      </c>
      <c r="D78" s="3">
        <f>(Sheet1!D22+Sheet1!D30)*E78/100</f>
        <v/>
      </c>
      <c r="E78" s="4" t="n">
        <v>26.4</v>
      </c>
    </row>
    <row r="79" ht="15" customHeight="1">
      <c r="A79" s="2" t="inlineStr">
        <is>
          <t>2024-2025</t>
        </is>
      </c>
      <c r="B79" s="2" t="inlineStr">
        <is>
          <t>West</t>
        </is>
      </c>
      <c r="C79" s="2" t="inlineStr">
        <is>
          <t>Passengers</t>
        </is>
      </c>
      <c r="D79" s="3">
        <f>(Sheet1!D23+Sheet1!D31)*E79/100</f>
        <v/>
      </c>
      <c r="E79" s="4" t="n">
        <v>26.1</v>
      </c>
    </row>
    <row r="80" ht="15" customHeight="1">
      <c r="A80" s="2" t="inlineStr">
        <is>
          <t>2025-2026</t>
        </is>
      </c>
      <c r="B80" s="2" t="inlineStr">
        <is>
          <t>West</t>
        </is>
      </c>
      <c r="C80" s="2" t="inlineStr">
        <is>
          <t>Passengers</t>
        </is>
      </c>
      <c r="D80" s="3">
        <f>(Sheet1!D24+Sheet1!D32)*E80/100</f>
        <v/>
      </c>
      <c r="E80" s="4" t="n">
        <v>25.4</v>
      </c>
    </row>
    <row r="81" ht="8" customHeight="1"/>
    <row r="83" ht="15" customHeight="1">
      <c r="G83" s="6" t="inlineStr">
        <is>
          <t>Passenger wise busiest region</t>
        </is>
      </c>
      <c r="H83" s="6" t="inlineStr">
        <is>
          <t>South</t>
        </is>
      </c>
    </row>
    <row r="84" ht="15" customHeight="1">
      <c r="G84" s="6" t="inlineStr">
        <is>
          <t>Movement wise busiest region</t>
        </is>
      </c>
      <c r="H84" s="6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  <col width="26" customWidth="1" min="8" max="8"/>
  </cols>
  <sheetData>
    <row r="1" ht="26" customHeight="1">
      <c r="A1" s="9" t="inlineStr">
        <is>
          <t>ANNEXURE III-C: Total Passengers (Intl + Domestic) | 2019-2020</t>
        </is>
      </c>
    </row>
    <row r="2" ht="14" customHeight="1">
      <c r="A2" s="10" t="inlineStr">
        <is>
          <t>Source: DGCA Annexure-III | April to March 2019-2020</t>
        </is>
      </c>
    </row>
    <row r="3" ht="30" customHeight="1">
      <c r="A3" s="11" t="inlineStr">
        <is>
          <t>S.No</t>
        </is>
      </c>
      <c r="B3" s="11" t="inlineStr">
        <is>
          <t>Airport</t>
        </is>
      </c>
      <c r="C3" s="11" t="inlineStr">
        <is>
          <t>FY Current
(Total)</t>
        </is>
      </c>
      <c r="D3" s="11" t="inlineStr">
        <is>
          <t>FY Intl</t>
        </is>
      </c>
      <c r="E3" s="11" t="inlineStr">
        <is>
          <t>FY Domestic</t>
        </is>
      </c>
      <c r="F3" s="11" t="inlineStr">
        <is>
          <t>FY Prev
(Total)</t>
        </is>
      </c>
      <c r="G3" s="11" t="inlineStr">
        <is>
          <t>FY
Change%</t>
        </is>
      </c>
      <c r="H3" s="11" t="inlineStr">
        <is>
          <t>Airport Category</t>
        </is>
      </c>
    </row>
    <row r="4" ht="16" customHeight="1">
      <c r="A4" s="12" t="inlineStr">
        <is>
          <t>INTERNATIONAL AIRPORTS</t>
        </is>
      </c>
      <c r="B4" s="34" t="n"/>
      <c r="C4" s="34" t="n"/>
      <c r="D4" s="34" t="n"/>
      <c r="E4" s="34" t="n"/>
      <c r="F4" s="34" t="n"/>
      <c r="G4" s="34" t="n"/>
      <c r="H4" s="35" t="n"/>
    </row>
    <row r="5" ht="14" customHeight="1">
      <c r="A5" s="13" t="n">
        <v>1</v>
      </c>
      <c r="B5" s="14" t="inlineStr">
        <is>
          <t>Chennai</t>
        </is>
      </c>
      <c r="C5" s="15" t="n">
        <v>22266722</v>
      </c>
      <c r="D5" s="15" t="n">
        <v>835987</v>
      </c>
      <c r="E5" s="15" t="n">
        <v>21430735</v>
      </c>
      <c r="F5" s="15" t="n">
        <v>22543822</v>
      </c>
      <c r="G5" s="13">
        <f>IFERROR(ROUND((C5-F5)*100/F5,1)&amp;"%","—")</f>
        <v/>
      </c>
      <c r="H5" s="13" t="inlineStr">
        <is>
          <t>International</t>
        </is>
      </c>
    </row>
    <row r="6" ht="14" customHeight="1">
      <c r="A6" s="13" t="n">
        <v>2</v>
      </c>
      <c r="B6" s="14" t="inlineStr">
        <is>
          <t>Kolkata</t>
        </is>
      </c>
      <c r="C6" s="15" t="n">
        <v>22015391</v>
      </c>
      <c r="D6" s="15" t="n">
        <v>2939322</v>
      </c>
      <c r="E6" s="15" t="n">
        <v>19076069</v>
      </c>
      <c r="F6" s="15" t="n">
        <v>21877350</v>
      </c>
      <c r="G6" s="13">
        <f>IFERROR(ROUND((C6-F6)*100/F6,1)&amp;"%","—")</f>
        <v/>
      </c>
      <c r="H6" s="13" t="inlineStr">
        <is>
          <t>International</t>
        </is>
      </c>
    </row>
    <row r="7" ht="14" customHeight="1">
      <c r="A7" s="13" t="n">
        <v>3</v>
      </c>
      <c r="B7" s="14" t="inlineStr">
        <is>
          <t>Ahmedabad</t>
        </is>
      </c>
      <c r="C7" s="15" t="n">
        <v>11432996</v>
      </c>
      <c r="D7" s="15" t="n">
        <v>2321304</v>
      </c>
      <c r="E7" s="15" t="n">
        <v>9111692</v>
      </c>
      <c r="F7" s="15" t="n">
        <v>11172468</v>
      </c>
      <c r="G7" s="13">
        <f>IFERROR(ROUND((C7-F7)*100/F7,1)&amp;"%","—")</f>
        <v/>
      </c>
      <c r="H7" s="13" t="inlineStr">
        <is>
          <t>International</t>
        </is>
      </c>
    </row>
    <row r="8" ht="14" customHeight="1">
      <c r="A8" s="13" t="n">
        <v>4</v>
      </c>
      <c r="B8" s="14" t="inlineStr">
        <is>
          <t>Goa</t>
        </is>
      </c>
      <c r="C8" s="15" t="n">
        <v>8356240</v>
      </c>
      <c r="D8" s="15" t="n">
        <v>704878</v>
      </c>
      <c r="E8" s="15" t="n">
        <v>7651362</v>
      </c>
      <c r="F8" s="15" t="n">
        <v>8467326</v>
      </c>
      <c r="G8" s="13">
        <f>IFERROR(ROUND((C8-F8)*100/F8,1)&amp;"%","—")</f>
        <v/>
      </c>
      <c r="H8" s="13" t="inlineStr">
        <is>
          <t>International</t>
        </is>
      </c>
    </row>
    <row r="9" ht="14" customHeight="1">
      <c r="A9" s="13" t="n">
        <v>5</v>
      </c>
      <c r="B9" s="14" t="inlineStr">
        <is>
          <t>Guwahati</t>
        </is>
      </c>
      <c r="C9" s="15" t="n">
        <v>5457449</v>
      </c>
      <c r="D9" s="15" t="n">
        <v>35160</v>
      </c>
      <c r="E9" s="15" t="n">
        <v>5422289</v>
      </c>
      <c r="F9" s="15" t="n">
        <v>5745628</v>
      </c>
      <c r="G9" s="13">
        <f>IFERROR(ROUND((C9-F9)*100/F9,1)&amp;"%","—")</f>
        <v/>
      </c>
      <c r="H9" s="13" t="inlineStr">
        <is>
          <t>International</t>
        </is>
      </c>
    </row>
    <row r="10" ht="14" customHeight="1">
      <c r="A10" s="13" t="n">
        <v>6</v>
      </c>
      <c r="B10" s="14" t="inlineStr">
        <is>
          <t>Lucknow</t>
        </is>
      </c>
      <c r="C10" s="15" t="n">
        <v>5433757</v>
      </c>
      <c r="D10" s="15" t="n">
        <v>737088</v>
      </c>
      <c r="E10" s="15" t="n">
        <v>4696669</v>
      </c>
      <c r="F10" s="15" t="n">
        <v>5532819</v>
      </c>
      <c r="G10" s="13">
        <f>IFERROR(ROUND((C10-F10)*100/F10,1)&amp;"%","—")</f>
        <v/>
      </c>
      <c r="H10" s="13" t="inlineStr">
        <is>
          <t>International</t>
        </is>
      </c>
    </row>
    <row r="11" ht="14" customHeight="1">
      <c r="A11" s="13" t="n">
        <v>7</v>
      </c>
      <c r="B11" s="14" t="inlineStr">
        <is>
          <t>Jaipur</t>
        </is>
      </c>
      <c r="C11" s="15" t="n">
        <v>5031561</v>
      </c>
      <c r="D11" s="15" t="n">
        <v>528992</v>
      </c>
      <c r="E11" s="15" t="n">
        <v>4502569</v>
      </c>
      <c r="F11" s="15" t="n">
        <v>5471223</v>
      </c>
      <c r="G11" s="13">
        <f>IFERROR(ROUND((C11-F11)*100/F11,1)&amp;"%","—")</f>
        <v/>
      </c>
      <c r="H11" s="13" t="inlineStr">
        <is>
          <t>International</t>
        </is>
      </c>
    </row>
    <row r="12" ht="14" customHeight="1">
      <c r="A12" s="13" t="n">
        <v>8</v>
      </c>
      <c r="B12" s="14" t="inlineStr">
        <is>
          <t>Trivandrum</t>
        </is>
      </c>
      <c r="C12" s="15" t="n">
        <v>3919193</v>
      </c>
      <c r="D12" s="15" t="n">
        <v>2209964</v>
      </c>
      <c r="E12" s="15" t="n">
        <v>1709229</v>
      </c>
      <c r="F12" s="15" t="n">
        <v>4434459</v>
      </c>
      <c r="G12" s="13">
        <f>IFERROR(ROUND((C12-F12)*100/F12,1)&amp;"%","—")</f>
        <v/>
      </c>
      <c r="H12" s="13" t="inlineStr">
        <is>
          <t>International</t>
        </is>
      </c>
    </row>
    <row r="13" ht="14" customHeight="1">
      <c r="A13" s="13" t="n">
        <v>9</v>
      </c>
      <c r="B13" s="14" t="inlineStr">
        <is>
          <t>Bhubaneswar</t>
        </is>
      </c>
      <c r="C13" s="15" t="n">
        <v>3672246</v>
      </c>
      <c r="D13" s="15" t="n">
        <v>70887</v>
      </c>
      <c r="E13" s="15" t="n">
        <v>3601359</v>
      </c>
      <c r="F13" s="15" t="n">
        <v>4158731</v>
      </c>
      <c r="G13" s="13">
        <f>IFERROR(ROUND((C13-F13)*100/F13,1)&amp;"%","—")</f>
        <v/>
      </c>
      <c r="H13" s="13" t="inlineStr">
        <is>
          <t>International</t>
        </is>
      </c>
    </row>
    <row r="14" ht="14" customHeight="1">
      <c r="A14" s="13" t="n">
        <v>10</v>
      </c>
      <c r="B14" s="14" t="inlineStr">
        <is>
          <t>Calicut</t>
        </is>
      </c>
      <c r="C14" s="15" t="n">
        <v>3229910</v>
      </c>
      <c r="D14" s="15" t="n">
        <v>2700556</v>
      </c>
      <c r="E14" s="15" t="n">
        <v>529354</v>
      </c>
      <c r="F14" s="15" t="n">
        <v>3360847</v>
      </c>
      <c r="G14" s="13">
        <f>IFERROR(ROUND((C14-F14)*100/F14,1)&amp;"%","—")</f>
        <v/>
      </c>
      <c r="H14" s="13" t="inlineStr">
        <is>
          <t>International</t>
        </is>
      </c>
    </row>
    <row r="15" ht="14" customHeight="1">
      <c r="A15" s="13" t="n">
        <v>11</v>
      </c>
      <c r="B15" s="14" t="inlineStr">
        <is>
          <t>Coimbatore</t>
        </is>
      </c>
      <c r="C15" s="15" t="n">
        <v>2842835</v>
      </c>
      <c r="D15" s="15" t="n">
        <v>238232</v>
      </c>
      <c r="E15" s="15" t="n">
        <v>2604603</v>
      </c>
      <c r="F15" s="15" t="n">
        <v>3000882</v>
      </c>
      <c r="G15" s="13">
        <f>IFERROR(ROUND((C15-F15)*100/F15,1)&amp;"%","—")</f>
        <v/>
      </c>
      <c r="H15" s="13" t="inlineStr">
        <is>
          <t>International</t>
        </is>
      </c>
    </row>
    <row r="16" ht="14" customHeight="1">
      <c r="A16" s="13" t="n">
        <v>12</v>
      </c>
      <c r="B16" s="14" t="inlineStr">
        <is>
          <t>Varanasi</t>
        </is>
      </c>
      <c r="C16" s="15" t="n">
        <v>3010702</v>
      </c>
      <c r="D16" s="15" t="n">
        <v>231730</v>
      </c>
      <c r="E16" s="15" t="n">
        <v>2778972</v>
      </c>
      <c r="F16" s="15" t="n">
        <v>2785015</v>
      </c>
      <c r="G16" s="13">
        <f>IFERROR(ROUND((C16-F16)*100/F16,1)&amp;"%","—")</f>
        <v/>
      </c>
      <c r="H16" s="13" t="inlineStr">
        <is>
          <t>International</t>
        </is>
      </c>
    </row>
    <row r="17" ht="14" customHeight="1">
      <c r="A17" s="13" t="n">
        <v>13</v>
      </c>
      <c r="B17" s="14" t="inlineStr">
        <is>
          <t>Srinagar</t>
        </is>
      </c>
      <c r="C17" s="15" t="n">
        <v>2820924</v>
      </c>
      <c r="D17" s="15" t="n">
        <v>21770</v>
      </c>
      <c r="E17" s="15" t="n">
        <v>2799154</v>
      </c>
      <c r="F17" s="15" t="n">
        <v>2737560</v>
      </c>
      <c r="G17" s="13">
        <f>IFERROR(ROUND((C17-F17)*100/F17,1)&amp;"%","—")</f>
        <v/>
      </c>
      <c r="H17" s="13" t="inlineStr">
        <is>
          <t>International</t>
        </is>
      </c>
    </row>
    <row r="18" ht="14" customHeight="1">
      <c r="A18" s="13" t="n">
        <v>14</v>
      </c>
      <c r="B18" s="14" t="inlineStr">
        <is>
          <t>Amritsar</t>
        </is>
      </c>
      <c r="C18" s="15" t="n">
        <v>2457615</v>
      </c>
      <c r="D18" s="15" t="n">
        <v>819243</v>
      </c>
      <c r="E18" s="15" t="n">
        <v>1638372</v>
      </c>
      <c r="F18" s="15" t="n">
        <v>2523794</v>
      </c>
      <c r="G18" s="13">
        <f>IFERROR(ROUND((C18-F18)*100/F18,1)&amp;"%","—")</f>
        <v/>
      </c>
      <c r="H18" s="13" t="inlineStr">
        <is>
          <t>International</t>
        </is>
      </c>
    </row>
    <row r="19" ht="14" customHeight="1">
      <c r="A19" s="13" t="n">
        <v>15</v>
      </c>
      <c r="B19" s="14" t="inlineStr">
        <is>
          <t>Mangalore</t>
        </is>
      </c>
      <c r="C19" s="15" t="n">
        <v>1876294</v>
      </c>
      <c r="D19" s="15" t="n">
        <v>571226</v>
      </c>
      <c r="E19" s="15" t="n">
        <v>1305068</v>
      </c>
      <c r="F19" s="15" t="n">
        <v>2240664</v>
      </c>
      <c r="G19" s="13">
        <f>IFERROR(ROUND((C19-F19)*100/F19,1)&amp;"%","—")</f>
        <v/>
      </c>
      <c r="H19" s="13" t="inlineStr">
        <is>
          <t>International</t>
        </is>
      </c>
    </row>
    <row r="20" ht="14" customHeight="1">
      <c r="A20" s="13" t="n">
        <v>16</v>
      </c>
      <c r="B20" s="14" t="inlineStr">
        <is>
          <t>Port Blair</t>
        </is>
      </c>
      <c r="C20" s="15" t="n">
        <v>1658661</v>
      </c>
      <c r="D20" s="15" t="n">
        <v>3</v>
      </c>
      <c r="E20" s="15" t="n">
        <v>1658658</v>
      </c>
      <c r="F20" s="15" t="n">
        <v>1711881</v>
      </c>
      <c r="G20" s="13">
        <f>IFERROR(ROUND((C20-F20)*100/F20,1)&amp;"%","—")</f>
        <v/>
      </c>
      <c r="H20" s="13" t="inlineStr">
        <is>
          <t>International</t>
        </is>
      </c>
    </row>
    <row r="21" ht="14" customHeight="1">
      <c r="A21" s="13" t="n">
        <v>17</v>
      </c>
      <c r="B21" s="14" t="inlineStr">
        <is>
          <t>Trichy</t>
        </is>
      </c>
      <c r="C21" s="15" t="n">
        <v>1612492</v>
      </c>
      <c r="D21" s="15" t="n">
        <v>1316419</v>
      </c>
      <c r="E21" s="15" t="n">
        <v>296073</v>
      </c>
      <c r="F21" s="15" t="n">
        <v>1578831</v>
      </c>
      <c r="G21" s="13">
        <f>IFERROR(ROUND((C21-F21)*100/F21,1)&amp;"%","—")</f>
        <v/>
      </c>
      <c r="H21" s="13" t="inlineStr">
        <is>
          <t>International</t>
        </is>
      </c>
    </row>
    <row r="22" ht="14" customHeight="1">
      <c r="A22" s="13" t="n">
        <v>18</v>
      </c>
      <c r="B22" s="14" t="inlineStr">
        <is>
          <t>Imphal</t>
        </is>
      </c>
      <c r="C22" s="15" t="n">
        <v>1285860</v>
      </c>
      <c r="D22" s="15" t="n">
        <v>102</v>
      </c>
      <c r="E22" s="15" t="n">
        <v>1285758</v>
      </c>
      <c r="F22" s="15" t="n">
        <v>1277163</v>
      </c>
      <c r="G22" s="13">
        <f>IFERROR(ROUND((C22-F22)*100/F22,1)&amp;"%","—")</f>
        <v/>
      </c>
      <c r="H22" s="13" t="inlineStr">
        <is>
          <t>International</t>
        </is>
      </c>
    </row>
    <row r="23" ht="14" customHeight="1">
      <c r="A23" s="13" t="n">
        <v>19</v>
      </c>
      <c r="B23" s="14" t="inlineStr">
        <is>
          <t>Vijayawada</t>
        </is>
      </c>
      <c r="C23" s="15" t="n">
        <v>1130583</v>
      </c>
      <c r="D23" s="15" t="n">
        <v>5032</v>
      </c>
      <c r="E23" s="15" t="n">
        <v>1125551</v>
      </c>
      <c r="F23" s="15" t="n">
        <v>1184853</v>
      </c>
      <c r="G23" s="13">
        <f>IFERROR(ROUND((C23-F23)*100/F23,1)&amp;"%","—")</f>
        <v/>
      </c>
      <c r="H23" s="13" t="inlineStr">
        <is>
          <t>International</t>
        </is>
      </c>
    </row>
    <row r="24" ht="14" customHeight="1">
      <c r="A24" s="13" t="n">
        <v>20</v>
      </c>
      <c r="B24" s="14" t="inlineStr">
        <is>
          <t>Tirupati</t>
        </is>
      </c>
      <c r="C24" s="15" t="n">
        <v>834984</v>
      </c>
      <c r="D24" s="15" t="n">
        <v>23</v>
      </c>
      <c r="E24" s="15" t="n">
        <v>834961</v>
      </c>
      <c r="F24" s="15" t="n">
        <v>834652</v>
      </c>
      <c r="G24" s="13">
        <f>IFERROR(ROUND((C24-F24)*100/F24,1)&amp;"%","—")</f>
        <v/>
      </c>
      <c r="H24" s="13" t="inlineStr">
        <is>
          <t>International</t>
        </is>
      </c>
    </row>
    <row r="25" ht="15" customHeight="1">
      <c r="A25" s="16" t="inlineStr"/>
      <c r="B25" s="17" t="inlineStr">
        <is>
          <t>TOTAL INTL</t>
        </is>
      </c>
      <c r="C25" s="18" t="n">
        <v>110346415</v>
      </c>
      <c r="D25" s="18" t="n">
        <v>12251318</v>
      </c>
      <c r="E25" s="18" t="n">
        <v>98095097</v>
      </c>
      <c r="F25" s="18" t="n">
        <v>112639968</v>
      </c>
      <c r="G25" s="16">
        <f>IFERROR(ROUND((C25-F25)*100/F25,1)&amp;"%","—")</f>
        <v/>
      </c>
      <c r="H25" s="16" t="inlineStr"/>
    </row>
    <row r="26" ht="16" customHeight="1">
      <c r="A26" s="19" t="inlineStr">
        <is>
          <t>JV INTERNATIONAL AIRPORTS</t>
        </is>
      </c>
      <c r="B26" s="34" t="n"/>
      <c r="C26" s="34" t="n"/>
      <c r="D26" s="34" t="n"/>
      <c r="E26" s="34" t="n"/>
      <c r="F26" s="34" t="n"/>
      <c r="G26" s="34" t="n"/>
      <c r="H26" s="35" t="n"/>
    </row>
    <row r="27" ht="14" customHeight="1">
      <c r="A27" s="13" t="n">
        <v>1</v>
      </c>
      <c r="B27" s="14" t="inlineStr">
        <is>
          <t>Delhi (DIAL)</t>
        </is>
      </c>
      <c r="C27" s="15" t="n">
        <v>67301016</v>
      </c>
      <c r="D27" s="15" t="n">
        <v>17831081</v>
      </c>
      <c r="E27" s="15" t="n">
        <v>49469935</v>
      </c>
      <c r="F27" s="15" t="n">
        <v>69233864</v>
      </c>
      <c r="G27" s="13">
        <f>IFERROR(ROUND((C27-F27)*100/F27,1)&amp;"%","—")</f>
        <v/>
      </c>
      <c r="H27" s="13" t="inlineStr">
        <is>
          <t>JV International</t>
        </is>
      </c>
    </row>
    <row r="28" ht="14" customHeight="1">
      <c r="A28" s="13" t="n">
        <v>2</v>
      </c>
      <c r="B28" s="14" t="inlineStr">
        <is>
          <t>Mumbai (MIAL)</t>
        </is>
      </c>
      <c r="C28" s="15" t="n">
        <v>45873329</v>
      </c>
      <c r="D28" s="15" t="n">
        <v>12355552</v>
      </c>
      <c r="E28" s="15" t="n">
        <v>33517777</v>
      </c>
      <c r="F28" s="15" t="n">
        <v>48815063</v>
      </c>
      <c r="G28" s="13">
        <f>IFERROR(ROUND((C28-F28)*100/F28,1)&amp;"%","—")</f>
        <v/>
      </c>
      <c r="H28" s="13" t="inlineStr">
        <is>
          <t>JV International</t>
        </is>
      </c>
    </row>
    <row r="29" ht="14" customHeight="1">
      <c r="A29" s="13" t="n">
        <v>3</v>
      </c>
      <c r="B29" s="14" t="inlineStr">
        <is>
          <t>Bengaluru (BIAL)</t>
        </is>
      </c>
      <c r="C29" s="15" t="n">
        <v>32361666</v>
      </c>
      <c r="D29" s="15" t="n">
        <v>4578531</v>
      </c>
      <c r="E29" s="15" t="n">
        <v>27783135</v>
      </c>
      <c r="F29" s="15" t="n">
        <v>33307702</v>
      </c>
      <c r="G29" s="13">
        <f>IFERROR(ROUND((C29-F29)*100/F29,1)&amp;"%","—")</f>
        <v/>
      </c>
      <c r="H29" s="13" t="inlineStr">
        <is>
          <t>JV International</t>
        </is>
      </c>
    </row>
    <row r="30" ht="14" customHeight="1">
      <c r="A30" s="13" t="n">
        <v>4</v>
      </c>
      <c r="B30" s="14" t="inlineStr">
        <is>
          <t>Hyderabad (GHIAL)</t>
        </is>
      </c>
      <c r="C30" s="15" t="n">
        <v>21651878</v>
      </c>
      <c r="D30" s="15" t="n">
        <v>3919874</v>
      </c>
      <c r="E30" s="15" t="n">
        <v>17732004</v>
      </c>
      <c r="F30" s="15" t="n">
        <v>21403972</v>
      </c>
      <c r="G30" s="13">
        <f>IFERROR(ROUND((C30-F30)*100/F30,1)&amp;"%","—")</f>
        <v/>
      </c>
      <c r="H30" s="13" t="inlineStr">
        <is>
          <t>JV International</t>
        </is>
      </c>
    </row>
    <row r="31" ht="14" customHeight="1">
      <c r="A31" s="13" t="n">
        <v>5</v>
      </c>
      <c r="B31" s="14" t="inlineStr">
        <is>
          <t>Kochi (CIAL)</t>
        </is>
      </c>
      <c r="C31" s="15" t="n">
        <v>9624334</v>
      </c>
      <c r="D31" s="15" t="n">
        <v>4676314</v>
      </c>
      <c r="E31" s="15" t="n">
        <v>4948020</v>
      </c>
      <c r="F31" s="15" t="n">
        <v>10119825</v>
      </c>
      <c r="G31" s="13">
        <f>IFERROR(ROUND((C31-F31)*100/F31,1)&amp;"%","—")</f>
        <v/>
      </c>
      <c r="H31" s="13" t="inlineStr">
        <is>
          <t>JV International</t>
        </is>
      </c>
    </row>
    <row r="32" ht="14" customHeight="1">
      <c r="A32" s="13" t="n">
        <v>6</v>
      </c>
      <c r="B32" s="14" t="inlineStr">
        <is>
          <t>Nagpur</t>
        </is>
      </c>
      <c r="C32" s="15" t="n">
        <v>3061548</v>
      </c>
      <c r="D32" s="15" t="n">
        <v>115175</v>
      </c>
      <c r="E32" s="15" t="n">
        <v>2946373</v>
      </c>
      <c r="F32" s="15" t="n">
        <v>2801910</v>
      </c>
      <c r="G32" s="13">
        <f>IFERROR(ROUND((C32-F32)*100/F32,1)&amp;"%","—")</f>
        <v/>
      </c>
      <c r="H32" s="13" t="inlineStr">
        <is>
          <t>JV International</t>
        </is>
      </c>
    </row>
    <row r="33" ht="14" customHeight="1">
      <c r="A33" s="13" t="n">
        <v>7</v>
      </c>
      <c r="B33" s="14" t="inlineStr">
        <is>
          <t>Kannur (KIAL)</t>
        </is>
      </c>
      <c r="C33" s="15" t="n">
        <v>1583600</v>
      </c>
      <c r="D33" s="15" t="n">
        <v>805940</v>
      </c>
      <c r="E33" s="15" t="n">
        <v>777660</v>
      </c>
      <c r="F33" s="15" t="n">
        <v>224302</v>
      </c>
      <c r="G33" s="13">
        <f>IFERROR(ROUND((C33-F33)*100/F33,1)&amp;"%","—")</f>
        <v/>
      </c>
      <c r="H33" s="13" t="inlineStr">
        <is>
          <t>JV International</t>
        </is>
      </c>
    </row>
    <row r="34" ht="15" customHeight="1">
      <c r="A34" s="20" t="inlineStr"/>
      <c r="B34" s="21" t="inlineStr">
        <is>
          <t>TOTAL JV</t>
        </is>
      </c>
      <c r="C34" s="22" t="n">
        <v>181457371</v>
      </c>
      <c r="D34" s="22" t="n">
        <v>44282467</v>
      </c>
      <c r="E34" s="22" t="n">
        <v>137174904</v>
      </c>
      <c r="F34" s="22" t="n">
        <v>185906638</v>
      </c>
      <c r="G34" s="20">
        <f>IFERROR(ROUND((C34-F34)*100/F34,1)&amp;"%","—")</f>
        <v/>
      </c>
      <c r="H34" s="20" t="inlineStr"/>
    </row>
    <row r="35" ht="16" customHeight="1">
      <c r="A35" s="23" t="inlineStr">
        <is>
          <t>CUSTOM AIRPORTS</t>
        </is>
      </c>
      <c r="B35" s="34" t="n"/>
      <c r="C35" s="34" t="n"/>
      <c r="D35" s="34" t="n"/>
      <c r="E35" s="34" t="n"/>
      <c r="F35" s="34" t="n"/>
      <c r="G35" s="34" t="n"/>
      <c r="H35" s="35" t="n"/>
    </row>
    <row r="36" ht="14" customHeight="1">
      <c r="A36" s="13" t="n">
        <v>1</v>
      </c>
      <c r="B36" s="14" t="inlineStr">
        <is>
          <t>Pune</t>
        </is>
      </c>
      <c r="C36" s="15" t="n">
        <v>8085607</v>
      </c>
      <c r="D36" s="15" t="n">
        <v>158125</v>
      </c>
      <c r="E36" s="15" t="n">
        <v>7927482</v>
      </c>
      <c r="F36" s="15" t="n">
        <v>9070927</v>
      </c>
      <c r="G36" s="13">
        <f>IFERROR(ROUND((C36-F36)*100/F36,1)&amp;"%","—")</f>
        <v/>
      </c>
      <c r="H36" s="13" t="inlineStr">
        <is>
          <t>Custom</t>
        </is>
      </c>
    </row>
    <row r="37" ht="14" customHeight="1">
      <c r="A37" s="13" t="n">
        <v>2</v>
      </c>
      <c r="B37" s="14" t="inlineStr">
        <is>
          <t>Patna</t>
        </is>
      </c>
      <c r="C37" s="15" t="n">
        <v>4525765</v>
      </c>
      <c r="D37" s="15" t="n">
        <v>0</v>
      </c>
      <c r="E37" s="15" t="n">
        <v>4525765</v>
      </c>
      <c r="F37" s="15" t="n">
        <v>4061990</v>
      </c>
      <c r="G37" s="13">
        <f>IFERROR(ROUND((C37-F37)*100/F37,1)&amp;"%","—")</f>
        <v/>
      </c>
      <c r="H37" s="13" t="inlineStr">
        <is>
          <t>Custom</t>
        </is>
      </c>
    </row>
    <row r="38" ht="14" customHeight="1">
      <c r="A38" s="13" t="n">
        <v>3</v>
      </c>
      <c r="B38" s="14" t="inlineStr">
        <is>
          <t>Bagdogra</t>
        </is>
      </c>
      <c r="C38" s="15" t="n">
        <v>3216640</v>
      </c>
      <c r="D38" s="15" t="n">
        <v>19472</v>
      </c>
      <c r="E38" s="15" t="n">
        <v>3197168</v>
      </c>
      <c r="F38" s="15" t="n">
        <v>2898784</v>
      </c>
      <c r="G38" s="13">
        <f>IFERROR(ROUND((C38-F38)*100/F38,1)&amp;"%","—")</f>
        <v/>
      </c>
      <c r="H38" s="13" t="inlineStr">
        <is>
          <t>Custom</t>
        </is>
      </c>
    </row>
    <row r="39" ht="14" customHeight="1">
      <c r="A39" s="13" t="n">
        <v>4</v>
      </c>
      <c r="B39" s="14" t="inlineStr">
        <is>
          <t>Visakhapatnam</t>
        </is>
      </c>
      <c r="C39" s="15" t="n">
        <v>2681283</v>
      </c>
      <c r="D39" s="15" t="n">
        <v>143535</v>
      </c>
      <c r="E39" s="15" t="n">
        <v>2537748</v>
      </c>
      <c r="F39" s="15" t="n">
        <v>2853390</v>
      </c>
      <c r="G39" s="13">
        <f>IFERROR(ROUND((C39-F39)*100/F39,1)&amp;"%","—")</f>
        <v/>
      </c>
      <c r="H39" s="13" t="inlineStr">
        <is>
          <t>Custom</t>
        </is>
      </c>
    </row>
    <row r="40" ht="14" customHeight="1">
      <c r="A40" s="13" t="n">
        <v>5</v>
      </c>
      <c r="B40" s="14" t="inlineStr">
        <is>
          <t>Chandigarh</t>
        </is>
      </c>
      <c r="C40" s="15" t="n">
        <v>2445202</v>
      </c>
      <c r="D40" s="15" t="n">
        <v>121495</v>
      </c>
      <c r="E40" s="15" t="n">
        <v>2323707</v>
      </c>
      <c r="F40" s="15" t="n">
        <v>2097698</v>
      </c>
      <c r="G40" s="13">
        <f>IFERROR(ROUND((C40-F40)*100/F40,1)&amp;"%","—")</f>
        <v/>
      </c>
      <c r="H40" s="13" t="inlineStr">
        <is>
          <t>Custom</t>
        </is>
      </c>
    </row>
    <row r="41" ht="14" customHeight="1">
      <c r="A41" s="13" t="n">
        <v>6</v>
      </c>
      <c r="B41" s="14" t="inlineStr">
        <is>
          <t>Madurai</t>
        </is>
      </c>
      <c r="C41" s="15" t="n">
        <v>1422337</v>
      </c>
      <c r="D41" s="15" t="n">
        <v>349816</v>
      </c>
      <c r="E41" s="15" t="n">
        <v>1072521</v>
      </c>
      <c r="F41" s="15" t="n">
        <v>1520016</v>
      </c>
      <c r="G41" s="13">
        <f>IFERROR(ROUND((C41-F41)*100/F41,1)&amp;"%","—")</f>
        <v/>
      </c>
      <c r="H41" s="13" t="inlineStr">
        <is>
          <t>Custom</t>
        </is>
      </c>
    </row>
    <row r="42" ht="14" customHeight="1">
      <c r="A42" s="13" t="n">
        <v>7</v>
      </c>
      <c r="B42" s="14" t="inlineStr">
        <is>
          <t>Surat</t>
        </is>
      </c>
      <c r="C42" s="15" t="n">
        <v>1515557</v>
      </c>
      <c r="D42" s="15" t="n">
        <v>44151</v>
      </c>
      <c r="E42" s="15" t="n">
        <v>1471406</v>
      </c>
      <c r="F42" s="15" t="n">
        <v>1238724</v>
      </c>
      <c r="G42" s="13">
        <f>IFERROR(ROUND((C42-F42)*100/F42,1)&amp;"%","—")</f>
        <v/>
      </c>
      <c r="H42" s="13" t="inlineStr">
        <is>
          <t>Custom</t>
        </is>
      </c>
    </row>
    <row r="43" ht="14" customHeight="1">
      <c r="A43" s="13" t="n">
        <v>8</v>
      </c>
      <c r="B43" s="14" t="inlineStr">
        <is>
          <t>Aurangabad</t>
        </is>
      </c>
      <c r="C43" s="15" t="n">
        <v>347734</v>
      </c>
      <c r="D43" s="15" t="n">
        <v>2116</v>
      </c>
      <c r="E43" s="15" t="n">
        <v>345618</v>
      </c>
      <c r="F43" s="15" t="n">
        <v>347781</v>
      </c>
      <c r="G43" s="13">
        <f>IFERROR(ROUND((C43-F43)*100/F43,1)&amp;"%","—")</f>
        <v/>
      </c>
      <c r="H43" s="13" t="inlineStr">
        <is>
          <t>Custom</t>
        </is>
      </c>
    </row>
    <row r="44" ht="14" customHeight="1">
      <c r="A44" s="13" t="n">
        <v>9</v>
      </c>
      <c r="B44" s="14" t="inlineStr">
        <is>
          <t>Gaya</t>
        </is>
      </c>
      <c r="C44" s="15" t="n">
        <v>237452</v>
      </c>
      <c r="D44" s="15" t="n">
        <v>139952</v>
      </c>
      <c r="E44" s="15" t="n">
        <v>97500</v>
      </c>
      <c r="F44" s="15" t="n">
        <v>213635</v>
      </c>
      <c r="G44" s="13">
        <f>IFERROR(ROUND((C44-F44)*100/F44,1)&amp;"%","—")</f>
        <v/>
      </c>
      <c r="H44" s="13" t="inlineStr">
        <is>
          <t>Custom</t>
        </is>
      </c>
    </row>
    <row r="45" ht="14" customHeight="1">
      <c r="A45" s="13" t="n">
        <v>10</v>
      </c>
      <c r="B45" s="14" t="inlineStr">
        <is>
          <t>Indore</t>
        </is>
      </c>
      <c r="C45" s="15" t="n">
        <v>2918971</v>
      </c>
      <c r="D45" s="15" t="n">
        <v>25522</v>
      </c>
      <c r="E45" s="15" t="n">
        <v>2893449</v>
      </c>
      <c r="F45" s="15" t="n">
        <v>3158938</v>
      </c>
      <c r="G45" s="13">
        <f>IFERROR(ROUND((C45-F45)*100/F45,1)&amp;"%","—")</f>
        <v/>
      </c>
      <c r="H45" s="13" t="inlineStr">
        <is>
          <t>Custom</t>
        </is>
      </c>
    </row>
    <row r="46" ht="15" customHeight="1">
      <c r="A46" s="24" t="inlineStr"/>
      <c r="B46" s="25" t="inlineStr">
        <is>
          <t>TOTAL CUSTOM</t>
        </is>
      </c>
      <c r="C46" s="26" t="n">
        <v>27396548</v>
      </c>
      <c r="D46" s="26" t="n">
        <v>1004184</v>
      </c>
      <c r="E46" s="26" t="n">
        <v>26392364</v>
      </c>
      <c r="F46" s="26" t="n">
        <v>27461883</v>
      </c>
      <c r="G46" s="24">
        <f>IFERROR(ROUND((C46-F46)*100/F46,1)&amp;"%","—")</f>
        <v/>
      </c>
      <c r="H46" s="24" t="inlineStr"/>
    </row>
    <row r="47" ht="15" customHeight="1">
      <c r="A47" s="27" t="inlineStr"/>
      <c r="B47" s="28" t="inlineStr">
        <is>
          <t>GRAND TOTAL</t>
        </is>
      </c>
      <c r="C47" s="29" t="n">
        <v>341050651</v>
      </c>
      <c r="D47" s="29" t="n">
        <v>66543642</v>
      </c>
      <c r="E47" s="29" t="n">
        <v>274507009</v>
      </c>
      <c r="F47" s="29" t="n">
        <v>344699733</v>
      </c>
      <c r="G47" s="27">
        <f>IFERROR(ROUND((C47-F47)*100/F47,1)&amp;"%","—")</f>
        <v/>
      </c>
      <c r="H47" s="27" t="inlineStr"/>
    </row>
  </sheetData>
  <mergeCells count="5">
    <mergeCell ref="A4:H4"/>
    <mergeCell ref="A26:H26"/>
    <mergeCell ref="A35:H35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  <col width="26" customWidth="1" min="8" max="8"/>
  </cols>
  <sheetData>
    <row r="1" ht="26" customHeight="1">
      <c r="A1" s="9" t="inlineStr">
        <is>
          <t>ANNEXURE III-C: Total Passengers (Intl + Domestic) | 2020-2021</t>
        </is>
      </c>
    </row>
    <row r="2" ht="14" customHeight="1">
      <c r="A2" s="10" t="inlineStr">
        <is>
          <t>Source: DGCA Annexure-III | April to March 2020-2021</t>
        </is>
      </c>
    </row>
    <row r="3" ht="30" customHeight="1">
      <c r="A3" s="11" t="inlineStr">
        <is>
          <t>S.No</t>
        </is>
      </c>
      <c r="B3" s="11" t="inlineStr">
        <is>
          <t>Airport</t>
        </is>
      </c>
      <c r="C3" s="11" t="inlineStr">
        <is>
          <t>FY Current
(Total)</t>
        </is>
      </c>
      <c r="D3" s="11" t="inlineStr">
        <is>
          <t>FY Intl</t>
        </is>
      </c>
      <c r="E3" s="11" t="inlineStr">
        <is>
          <t>FY Domestic</t>
        </is>
      </c>
      <c r="F3" s="11" t="inlineStr">
        <is>
          <t>FY Prev
(Total)</t>
        </is>
      </c>
      <c r="G3" s="11" t="inlineStr">
        <is>
          <t>FY
Change%</t>
        </is>
      </c>
      <c r="H3" s="11" t="inlineStr">
        <is>
          <t>Airport Category</t>
        </is>
      </c>
    </row>
    <row r="4" ht="16" customHeight="1">
      <c r="A4" s="12" t="inlineStr">
        <is>
          <t>INTERNATIONAL AIRPORTS</t>
        </is>
      </c>
      <c r="B4" s="34" t="n"/>
      <c r="C4" s="34" t="n"/>
      <c r="D4" s="34" t="n"/>
      <c r="E4" s="34" t="n"/>
      <c r="F4" s="34" t="n"/>
      <c r="G4" s="34" t="n"/>
      <c r="H4" s="35" t="n"/>
    </row>
    <row r="5" ht="14" customHeight="1">
      <c r="A5" s="13" t="n">
        <v>1</v>
      </c>
      <c r="B5" s="14" t="inlineStr">
        <is>
          <t>Chennai</t>
        </is>
      </c>
      <c r="C5" s="15" t="n">
        <v>5495707</v>
      </c>
      <c r="D5" s="15" t="n">
        <v>591571</v>
      </c>
      <c r="E5" s="15" t="n">
        <v>4904136</v>
      </c>
      <c r="F5" s="15" t="n">
        <v>22266722</v>
      </c>
      <c r="G5" s="13">
        <f>IFERROR(ROUND((C5-F5)*100/F5,1)&amp;"%","—")</f>
        <v/>
      </c>
      <c r="H5" s="13" t="inlineStr">
        <is>
          <t>International</t>
        </is>
      </c>
    </row>
    <row r="6" ht="14" customHeight="1">
      <c r="A6" s="13" t="n">
        <v>2</v>
      </c>
      <c r="B6" s="14" t="inlineStr">
        <is>
          <t>Kolkata</t>
        </is>
      </c>
      <c r="C6" s="15" t="n">
        <v>7728906</v>
      </c>
      <c r="D6" s="15" t="n">
        <v>143081</v>
      </c>
      <c r="E6" s="15" t="n">
        <v>7585825</v>
      </c>
      <c r="F6" s="15" t="n">
        <v>22015391</v>
      </c>
      <c r="G6" s="13">
        <f>IFERROR(ROUND((C6-F6)*100/F6,1)&amp;"%","—")</f>
        <v/>
      </c>
      <c r="H6" s="13" t="inlineStr">
        <is>
          <t>International</t>
        </is>
      </c>
    </row>
    <row r="7" ht="14" customHeight="1">
      <c r="A7" s="13" t="n">
        <v>3</v>
      </c>
      <c r="B7" s="14" t="inlineStr">
        <is>
          <t>Ahmedabad</t>
        </is>
      </c>
      <c r="C7" s="15" t="n">
        <v>3642413</v>
      </c>
      <c r="D7" s="15" t="n">
        <v>204491</v>
      </c>
      <c r="E7" s="15" t="n">
        <v>3437922</v>
      </c>
      <c r="F7" s="15" t="n">
        <v>11432996</v>
      </c>
      <c r="G7" s="13">
        <f>IFERROR(ROUND((C7-F7)*100/F7,1)&amp;"%","—")</f>
        <v/>
      </c>
      <c r="H7" s="13" t="inlineStr">
        <is>
          <t>International</t>
        </is>
      </c>
    </row>
    <row r="8" ht="14" customHeight="1">
      <c r="A8" s="13" t="n">
        <v>4</v>
      </c>
      <c r="B8" s="14" t="inlineStr">
        <is>
          <t>Goa</t>
        </is>
      </c>
      <c r="C8" s="15" t="n">
        <v>2890545</v>
      </c>
      <c r="D8" s="15" t="n">
        <v>39866</v>
      </c>
      <c r="E8" s="15" t="n">
        <v>2850679</v>
      </c>
      <c r="F8" s="15" t="n">
        <v>8356240</v>
      </c>
      <c r="G8" s="13">
        <f>IFERROR(ROUND((C8-F8)*100/F8,1)&amp;"%","—")</f>
        <v/>
      </c>
      <c r="H8" s="13" t="inlineStr">
        <is>
          <t>International</t>
        </is>
      </c>
    </row>
    <row r="9" ht="14" customHeight="1">
      <c r="A9" s="13" t="n">
        <v>5</v>
      </c>
      <c r="B9" s="14" t="inlineStr">
        <is>
          <t>Guwahati</t>
        </is>
      </c>
      <c r="C9" s="15" t="n">
        <v>2189135</v>
      </c>
      <c r="D9" s="15" t="n">
        <v>368</v>
      </c>
      <c r="E9" s="15" t="n">
        <v>2188767</v>
      </c>
      <c r="F9" s="15" t="n">
        <v>5457449</v>
      </c>
      <c r="G9" s="13">
        <f>IFERROR(ROUND((C9-F9)*100/F9,1)&amp;"%","—")</f>
        <v/>
      </c>
      <c r="H9" s="13" t="inlineStr">
        <is>
          <t>International</t>
        </is>
      </c>
    </row>
    <row r="10" ht="14" customHeight="1">
      <c r="A10" s="13" t="n">
        <v>6</v>
      </c>
      <c r="B10" s="14" t="inlineStr">
        <is>
          <t>Lucknow</t>
        </is>
      </c>
      <c r="C10" s="15" t="n">
        <v>2441037</v>
      </c>
      <c r="D10" s="15" t="n">
        <v>414429</v>
      </c>
      <c r="E10" s="15" t="n">
        <v>2026608</v>
      </c>
      <c r="F10" s="15" t="n">
        <v>5433757</v>
      </c>
      <c r="G10" s="13">
        <f>IFERROR(ROUND((C10-F10)*100/F10,1)&amp;"%","—")</f>
        <v/>
      </c>
      <c r="H10" s="13" t="inlineStr">
        <is>
          <t>International</t>
        </is>
      </c>
    </row>
    <row r="11" ht="14" customHeight="1">
      <c r="A11" s="13" t="n">
        <v>7</v>
      </c>
      <c r="B11" s="14" t="inlineStr">
        <is>
          <t>Jaipur</t>
        </is>
      </c>
      <c r="C11" s="15" t="n">
        <v>1850187</v>
      </c>
      <c r="D11" s="15" t="n">
        <v>130250</v>
      </c>
      <c r="E11" s="15" t="n">
        <v>1719937</v>
      </c>
      <c r="F11" s="15" t="n">
        <v>5031561</v>
      </c>
      <c r="G11" s="13">
        <f>IFERROR(ROUND((C11-F11)*100/F11,1)&amp;"%","—")</f>
        <v/>
      </c>
      <c r="H11" s="13" t="inlineStr">
        <is>
          <t>International</t>
        </is>
      </c>
    </row>
    <row r="12" ht="14" customHeight="1">
      <c r="A12" s="13" t="n">
        <v>8</v>
      </c>
      <c r="B12" s="14" t="inlineStr">
        <is>
          <t>Trivandrum</t>
        </is>
      </c>
      <c r="C12" s="15" t="n">
        <v>935435</v>
      </c>
      <c r="D12" s="15" t="n">
        <v>458876</v>
      </c>
      <c r="E12" s="15" t="n">
        <v>476559</v>
      </c>
      <c r="F12" s="15" t="n">
        <v>3919193</v>
      </c>
      <c r="G12" s="13">
        <f>IFERROR(ROUND((C12-F12)*100/F12,1)&amp;"%","—")</f>
        <v/>
      </c>
      <c r="H12" s="13" t="inlineStr">
        <is>
          <t>International</t>
        </is>
      </c>
    </row>
    <row r="13" ht="14" customHeight="1">
      <c r="A13" s="13" t="n">
        <v>9</v>
      </c>
      <c r="B13" s="14" t="inlineStr">
        <is>
          <t>Bhubaneswar</t>
        </is>
      </c>
      <c r="C13" s="15" t="n">
        <v>1571933</v>
      </c>
      <c r="D13" s="15" t="n">
        <v>6277</v>
      </c>
      <c r="E13" s="15" t="n">
        <v>1565656</v>
      </c>
      <c r="F13" s="15" t="n">
        <v>3672246</v>
      </c>
      <c r="G13" s="13">
        <f>IFERROR(ROUND((C13-F13)*100/F13,1)&amp;"%","—")</f>
        <v/>
      </c>
      <c r="H13" s="13" t="inlineStr">
        <is>
          <t>International</t>
        </is>
      </c>
    </row>
    <row r="14" ht="14" customHeight="1">
      <c r="A14" s="13" t="n">
        <v>10</v>
      </c>
      <c r="B14" s="14" t="inlineStr">
        <is>
          <t>Calicut</t>
        </is>
      </c>
      <c r="C14" s="15" t="n">
        <v>902012</v>
      </c>
      <c r="D14" s="15" t="n">
        <v>712872</v>
      </c>
      <c r="E14" s="15" t="n">
        <v>189140</v>
      </c>
      <c r="F14" s="15" t="n">
        <v>3229910</v>
      </c>
      <c r="G14" s="13">
        <f>IFERROR(ROUND((C14-F14)*100/F14,1)&amp;"%","—")</f>
        <v/>
      </c>
      <c r="H14" s="13" t="inlineStr">
        <is>
          <t>International</t>
        </is>
      </c>
    </row>
    <row r="15" ht="14" customHeight="1">
      <c r="A15" s="13" t="n">
        <v>11</v>
      </c>
      <c r="B15" s="14" t="inlineStr">
        <is>
          <t>Coimbatore</t>
        </is>
      </c>
      <c r="C15" s="15" t="n">
        <v>846649</v>
      </c>
      <c r="D15" s="15" t="n">
        <v>26495</v>
      </c>
      <c r="E15" s="15" t="n">
        <v>820154</v>
      </c>
      <c r="F15" s="15" t="n">
        <v>2842835</v>
      </c>
      <c r="G15" s="13">
        <f>IFERROR(ROUND((C15-F15)*100/F15,1)&amp;"%","—")</f>
        <v/>
      </c>
      <c r="H15" s="13" t="inlineStr">
        <is>
          <t>International</t>
        </is>
      </c>
    </row>
    <row r="16" ht="14" customHeight="1">
      <c r="A16" s="13" t="n">
        <v>12</v>
      </c>
      <c r="B16" s="14" t="inlineStr">
        <is>
          <t>Varanasi</t>
        </is>
      </c>
      <c r="C16" s="15" t="n">
        <v>1466718</v>
      </c>
      <c r="D16" s="15" t="n">
        <v>18563</v>
      </c>
      <c r="E16" s="15" t="n">
        <v>1448155</v>
      </c>
      <c r="F16" s="15" t="n">
        <v>3010702</v>
      </c>
      <c r="G16" s="13">
        <f>IFERROR(ROUND((C16-F16)*100/F16,1)&amp;"%","—")</f>
        <v/>
      </c>
      <c r="H16" s="13" t="inlineStr">
        <is>
          <t>International</t>
        </is>
      </c>
    </row>
    <row r="17" ht="14" customHeight="1">
      <c r="A17" s="13" t="n">
        <v>13</v>
      </c>
      <c r="B17" s="14" t="inlineStr">
        <is>
          <t>Srinagar</t>
        </is>
      </c>
      <c r="C17" s="15" t="n">
        <v>1802904</v>
      </c>
      <c r="D17" s="15" t="n">
        <v>3156</v>
      </c>
      <c r="E17" s="15" t="n">
        <v>1799748</v>
      </c>
      <c r="F17" s="15" t="n">
        <v>2820924</v>
      </c>
      <c r="G17" s="13">
        <f>IFERROR(ROUND((C17-F17)*100/F17,1)&amp;"%","—")</f>
        <v/>
      </c>
      <c r="H17" s="13" t="inlineStr">
        <is>
          <t>International</t>
        </is>
      </c>
    </row>
    <row r="18" ht="14" customHeight="1">
      <c r="A18" s="13" t="n">
        <v>14</v>
      </c>
      <c r="B18" s="14" t="inlineStr">
        <is>
          <t>Amritsar</t>
        </is>
      </c>
      <c r="C18" s="15" t="n">
        <v>854352</v>
      </c>
      <c r="D18" s="15" t="n">
        <v>193022</v>
      </c>
      <c r="E18" s="15" t="n">
        <v>661330</v>
      </c>
      <c r="F18" s="15" t="n">
        <v>2457615</v>
      </c>
      <c r="G18" s="13">
        <f>IFERROR(ROUND((C18-F18)*100/F18,1)&amp;"%","—")</f>
        <v/>
      </c>
      <c r="H18" s="13" t="inlineStr">
        <is>
          <t>International</t>
        </is>
      </c>
    </row>
    <row r="19" ht="14" customHeight="1">
      <c r="A19" s="13" t="n">
        <v>15</v>
      </c>
      <c r="B19" s="14" t="inlineStr">
        <is>
          <t>Mangalore</t>
        </is>
      </c>
      <c r="C19" s="15" t="n">
        <v>614845</v>
      </c>
      <c r="D19" s="15" t="n">
        <v>152434</v>
      </c>
      <c r="E19" s="15" t="n">
        <v>462411</v>
      </c>
      <c r="F19" s="15" t="n">
        <v>1876294</v>
      </c>
      <c r="G19" s="13">
        <f>IFERROR(ROUND((C19-F19)*100/F19,1)&amp;"%","—")</f>
        <v/>
      </c>
      <c r="H19" s="13" t="inlineStr">
        <is>
          <t>International</t>
        </is>
      </c>
    </row>
    <row r="20" ht="14" customHeight="1">
      <c r="A20" s="13" t="n">
        <v>16</v>
      </c>
      <c r="B20" s="14" t="inlineStr">
        <is>
          <t>Port Blair</t>
        </is>
      </c>
      <c r="C20" s="15" t="n">
        <v>400361</v>
      </c>
      <c r="D20" s="15" t="n">
        <v>26</v>
      </c>
      <c r="E20" s="15" t="n">
        <v>400335</v>
      </c>
      <c r="F20" s="15" t="n">
        <v>1658661</v>
      </c>
      <c r="G20" s="13">
        <f>IFERROR(ROUND((C20-F20)*100/F20,1)&amp;"%","—")</f>
        <v/>
      </c>
      <c r="H20" s="13" t="inlineStr">
        <is>
          <t>International</t>
        </is>
      </c>
    </row>
    <row r="21" ht="14" customHeight="1">
      <c r="A21" s="13" t="n">
        <v>17</v>
      </c>
      <c r="B21" s="14" t="inlineStr">
        <is>
          <t>Trichy</t>
        </is>
      </c>
      <c r="C21" s="15" t="n">
        <v>355903</v>
      </c>
      <c r="D21" s="15" t="n">
        <v>191075</v>
      </c>
      <c r="E21" s="15" t="n">
        <v>164828</v>
      </c>
      <c r="F21" s="15" t="n">
        <v>1612492</v>
      </c>
      <c r="G21" s="13">
        <f>IFERROR(ROUND((C21-F21)*100/F21,1)&amp;"%","—")</f>
        <v/>
      </c>
      <c r="H21" s="13" t="inlineStr">
        <is>
          <t>International</t>
        </is>
      </c>
    </row>
    <row r="22" ht="14" customHeight="1">
      <c r="A22" s="13" t="n">
        <v>18</v>
      </c>
      <c r="B22" s="14" t="inlineStr">
        <is>
          <t>Imphal</t>
        </is>
      </c>
      <c r="C22" s="15" t="n">
        <v>492752</v>
      </c>
      <c r="D22" s="15" t="n">
        <v>31</v>
      </c>
      <c r="E22" s="15" t="n">
        <v>492721</v>
      </c>
      <c r="F22" s="15" t="n">
        <v>1285860</v>
      </c>
      <c r="G22" s="13">
        <f>IFERROR(ROUND((C22-F22)*100/F22,1)&amp;"%","—")</f>
        <v/>
      </c>
      <c r="H22" s="13" t="inlineStr">
        <is>
          <t>International</t>
        </is>
      </c>
    </row>
    <row r="23" ht="14" customHeight="1">
      <c r="A23" s="13" t="n">
        <v>19</v>
      </c>
      <c r="B23" s="14" t="inlineStr">
        <is>
          <t>Vijayawada</t>
        </is>
      </c>
      <c r="C23" s="15" t="n">
        <v>507215</v>
      </c>
      <c r="D23" s="15" t="n">
        <v>72478</v>
      </c>
      <c r="E23" s="15" t="n">
        <v>434737</v>
      </c>
      <c r="F23" s="15" t="n">
        <v>1130583</v>
      </c>
      <c r="G23" s="13">
        <f>IFERROR(ROUND((C23-F23)*100/F23,1)&amp;"%","—")</f>
        <v/>
      </c>
      <c r="H23" s="13" t="inlineStr">
        <is>
          <t>International</t>
        </is>
      </c>
    </row>
    <row r="24" ht="14" customHeight="1">
      <c r="A24" s="13" t="n">
        <v>20</v>
      </c>
      <c r="B24" s="14" t="inlineStr">
        <is>
          <t>Tirupati</t>
        </is>
      </c>
      <c r="C24" s="15" t="n">
        <v>352375</v>
      </c>
      <c r="D24" s="15" t="n">
        <v>0</v>
      </c>
      <c r="E24" s="15" t="n">
        <v>352375</v>
      </c>
      <c r="F24" s="15" t="n">
        <v>834984</v>
      </c>
      <c r="G24" s="13">
        <f>IFERROR(ROUND((C24-F24)*100/F24,1)&amp;"%","—")</f>
        <v/>
      </c>
      <c r="H24" s="13" t="inlineStr">
        <is>
          <t>International</t>
        </is>
      </c>
    </row>
    <row r="25" ht="15" customHeight="1">
      <c r="A25" s="16" t="inlineStr"/>
      <c r="B25" s="17" t="inlineStr">
        <is>
          <t>TOTAL INTL</t>
        </is>
      </c>
      <c r="C25" s="18" t="n">
        <v>37341384</v>
      </c>
      <c r="D25" s="18" t="n">
        <v>3359361</v>
      </c>
      <c r="E25" s="18" t="n">
        <v>33982023</v>
      </c>
      <c r="F25" s="18" t="n">
        <v>110346415</v>
      </c>
      <c r="G25" s="16">
        <f>IFERROR(ROUND((C25-F25)*100/F25,1)&amp;"%","—")</f>
        <v/>
      </c>
      <c r="H25" s="16" t="inlineStr"/>
    </row>
    <row r="26" ht="16" customHeight="1">
      <c r="A26" s="19" t="inlineStr">
        <is>
          <t>JV INTERNATIONAL AIRPORTS</t>
        </is>
      </c>
      <c r="B26" s="34" t="n"/>
      <c r="C26" s="34" t="n"/>
      <c r="D26" s="34" t="n"/>
      <c r="E26" s="34" t="n"/>
      <c r="F26" s="34" t="n"/>
      <c r="G26" s="34" t="n"/>
      <c r="H26" s="35" t="n"/>
    </row>
    <row r="27" ht="14" customHeight="1">
      <c r="A27" s="13" t="n">
        <v>1</v>
      </c>
      <c r="B27" s="14" t="inlineStr">
        <is>
          <t>Delhi (DIAL)</t>
        </is>
      </c>
      <c r="C27" s="15" t="n">
        <v>22583736</v>
      </c>
      <c r="D27" s="15" t="n">
        <v>3207233</v>
      </c>
      <c r="E27" s="15" t="n">
        <v>19376503</v>
      </c>
      <c r="F27" s="15" t="n">
        <v>67301016</v>
      </c>
      <c r="G27" s="13">
        <f>IFERROR(ROUND((C27-F27)*100/F27,1)&amp;"%","—")</f>
        <v/>
      </c>
      <c r="H27" s="13" t="inlineStr">
        <is>
          <t>JV International</t>
        </is>
      </c>
    </row>
    <row r="28" ht="14" customHeight="1">
      <c r="A28" s="13" t="n">
        <v>2</v>
      </c>
      <c r="B28" s="14" t="inlineStr">
        <is>
          <t>Mumbai (MIAL)</t>
        </is>
      </c>
      <c r="C28" s="15" t="n">
        <v>11054811</v>
      </c>
      <c r="D28" s="15" t="n">
        <v>1218512</v>
      </c>
      <c r="E28" s="15" t="n">
        <v>9836299</v>
      </c>
      <c r="F28" s="15" t="n">
        <v>45873329</v>
      </c>
      <c r="G28" s="13">
        <f>IFERROR(ROUND((C28-F28)*100/F28,1)&amp;"%","—")</f>
        <v/>
      </c>
      <c r="H28" s="13" t="inlineStr">
        <is>
          <t>JV International</t>
        </is>
      </c>
    </row>
    <row r="29" ht="14" customHeight="1">
      <c r="A29" s="13" t="n">
        <v>3</v>
      </c>
      <c r="B29" s="14" t="inlineStr">
        <is>
          <t>Bengaluru (BIAL)</t>
        </is>
      </c>
      <c r="C29" s="15" t="n">
        <v>10914194</v>
      </c>
      <c r="D29" s="15" t="n">
        <v>465386</v>
      </c>
      <c r="E29" s="15" t="n">
        <v>10448808</v>
      </c>
      <c r="F29" s="15" t="n">
        <v>32361666</v>
      </c>
      <c r="G29" s="13">
        <f>IFERROR(ROUND((C29-F29)*100/F29,1)&amp;"%","—")</f>
        <v/>
      </c>
      <c r="H29" s="13" t="inlineStr">
        <is>
          <t>JV International</t>
        </is>
      </c>
    </row>
    <row r="30" ht="14" customHeight="1">
      <c r="A30" s="13" t="n">
        <v>4</v>
      </c>
      <c r="B30" s="14" t="inlineStr">
        <is>
          <t>Hyderabad (GHIAL)</t>
        </is>
      </c>
      <c r="C30" s="15" t="n">
        <v>8048248</v>
      </c>
      <c r="D30" s="15" t="n">
        <v>575329</v>
      </c>
      <c r="E30" s="15" t="n">
        <v>7472919</v>
      </c>
      <c r="F30" s="15" t="n">
        <v>21651878</v>
      </c>
      <c r="G30" s="13">
        <f>IFERROR(ROUND((C30-F30)*100/F30,1)&amp;"%","—")</f>
        <v/>
      </c>
      <c r="H30" s="13" t="inlineStr">
        <is>
          <t>JV International</t>
        </is>
      </c>
    </row>
    <row r="31" ht="14" customHeight="1">
      <c r="A31" s="13" t="n">
        <v>5</v>
      </c>
      <c r="B31" s="14" t="inlineStr">
        <is>
          <t>Kochi (CIAL)</t>
        </is>
      </c>
      <c r="C31" s="15" t="n">
        <v>2458458</v>
      </c>
      <c r="D31" s="15" t="n">
        <v>909551</v>
      </c>
      <c r="E31" s="15" t="n">
        <v>1548907</v>
      </c>
      <c r="F31" s="15" t="n">
        <v>9624334</v>
      </c>
      <c r="G31" s="13">
        <f>IFERROR(ROUND((C31-F31)*100/F31,1)&amp;"%","—")</f>
        <v/>
      </c>
      <c r="H31" s="13" t="inlineStr">
        <is>
          <t>JV International</t>
        </is>
      </c>
    </row>
    <row r="32" ht="14" customHeight="1">
      <c r="A32" s="13" t="n">
        <v>6</v>
      </c>
      <c r="B32" s="14" t="inlineStr">
        <is>
          <t>Nagpur</t>
        </is>
      </c>
      <c r="C32" s="15" t="n">
        <v>948237</v>
      </c>
      <c r="D32" s="15" t="n">
        <v>371</v>
      </c>
      <c r="E32" s="15" t="n">
        <v>947866</v>
      </c>
      <c r="F32" s="15" t="n">
        <v>3061548</v>
      </c>
      <c r="G32" s="13">
        <f>IFERROR(ROUND((C32-F32)*100/F32,1)&amp;"%","—")</f>
        <v/>
      </c>
      <c r="H32" s="13" t="inlineStr">
        <is>
          <t>JV International</t>
        </is>
      </c>
    </row>
    <row r="33" ht="14" customHeight="1">
      <c r="A33" s="13" t="n">
        <v>7</v>
      </c>
      <c r="B33" s="14" t="inlineStr">
        <is>
          <t>Kannur (KIAL)</t>
        </is>
      </c>
      <c r="C33" s="15" t="n">
        <v>481084</v>
      </c>
      <c r="D33" s="15" t="n">
        <v>296094</v>
      </c>
      <c r="E33" s="15" t="n">
        <v>184990</v>
      </c>
      <c r="F33" s="15" t="n">
        <v>1583600</v>
      </c>
      <c r="G33" s="13">
        <f>IFERROR(ROUND((C33-F33)*100/F33,1)&amp;"%","—")</f>
        <v/>
      </c>
      <c r="H33" s="13" t="inlineStr">
        <is>
          <t>JV International</t>
        </is>
      </c>
    </row>
    <row r="34" ht="15" customHeight="1">
      <c r="A34" s="20" t="inlineStr"/>
      <c r="B34" s="21" t="inlineStr">
        <is>
          <t>TOTAL JV</t>
        </is>
      </c>
      <c r="C34" s="22" t="n">
        <v>56488768</v>
      </c>
      <c r="D34" s="22" t="n">
        <v>6672476</v>
      </c>
      <c r="E34" s="22" t="n">
        <v>49816292</v>
      </c>
      <c r="F34" s="22" t="n">
        <v>181457371</v>
      </c>
      <c r="G34" s="20">
        <f>IFERROR(ROUND((C34-F34)*100/F34,1)&amp;"%","—")</f>
        <v/>
      </c>
      <c r="H34" s="20" t="inlineStr"/>
    </row>
    <row r="35" ht="16" customHeight="1">
      <c r="A35" s="23" t="inlineStr">
        <is>
          <t>CUSTOM AIRPORTS</t>
        </is>
      </c>
      <c r="B35" s="34" t="n"/>
      <c r="C35" s="34" t="n"/>
      <c r="D35" s="34" t="n"/>
      <c r="E35" s="34" t="n"/>
      <c r="F35" s="34" t="n"/>
      <c r="G35" s="34" t="n"/>
      <c r="H35" s="35" t="n"/>
    </row>
    <row r="36" ht="14" customHeight="1">
      <c r="A36" s="13" t="n">
        <v>1</v>
      </c>
      <c r="B36" s="14" t="inlineStr">
        <is>
          <t>Pune</t>
        </is>
      </c>
      <c r="C36" s="15" t="n">
        <v>2137859</v>
      </c>
      <c r="D36" s="15" t="n">
        <v>4878</v>
      </c>
      <c r="E36" s="15" t="n">
        <v>2132981</v>
      </c>
      <c r="F36" s="15" t="n">
        <v>8085607</v>
      </c>
      <c r="G36" s="13">
        <f>IFERROR(ROUND((C36-F36)*100/F36,1)&amp;"%","—")</f>
        <v/>
      </c>
      <c r="H36" s="13" t="inlineStr">
        <is>
          <t>Custom</t>
        </is>
      </c>
    </row>
    <row r="37" ht="14" customHeight="1">
      <c r="A37" s="13" t="n">
        <v>2</v>
      </c>
      <c r="B37" s="14" t="inlineStr">
        <is>
          <t>Patna</t>
        </is>
      </c>
      <c r="C37" s="15" t="n">
        <v>2710000</v>
      </c>
      <c r="D37" s="15" t="n">
        <v>0</v>
      </c>
      <c r="E37" s="15" t="n">
        <v>2710000</v>
      </c>
      <c r="F37" s="15" t="n">
        <v>4525765</v>
      </c>
      <c r="G37" s="13">
        <f>IFERROR(ROUND((C37-F37)*100/F37,1)&amp;"%","—")</f>
        <v/>
      </c>
      <c r="H37" s="13" t="inlineStr">
        <is>
          <t>Custom</t>
        </is>
      </c>
    </row>
    <row r="38" ht="14" customHeight="1">
      <c r="A38" s="13" t="n">
        <v>3</v>
      </c>
      <c r="B38" s="14" t="inlineStr">
        <is>
          <t>Bagdogra</t>
        </is>
      </c>
      <c r="C38" s="15" t="n">
        <v>1473310</v>
      </c>
      <c r="D38" s="15" t="n">
        <v>678</v>
      </c>
      <c r="E38" s="15" t="n">
        <v>1472632</v>
      </c>
      <c r="F38" s="15" t="n">
        <v>3216640</v>
      </c>
      <c r="G38" s="13">
        <f>IFERROR(ROUND((C38-F38)*100/F38,1)&amp;"%","—")</f>
        <v/>
      </c>
      <c r="H38" s="13" t="inlineStr">
        <is>
          <t>Custom</t>
        </is>
      </c>
    </row>
    <row r="39" ht="14" customHeight="1">
      <c r="A39" s="13" t="n">
        <v>4</v>
      </c>
      <c r="B39" s="14" t="inlineStr">
        <is>
          <t>Indore</t>
        </is>
      </c>
      <c r="C39" s="15" t="n">
        <v>896304</v>
      </c>
      <c r="D39" s="15" t="n">
        <v>913</v>
      </c>
      <c r="E39" s="15" t="n">
        <v>895391</v>
      </c>
      <c r="F39" s="15" t="n">
        <v>2918971</v>
      </c>
      <c r="G39" s="13">
        <f>IFERROR(ROUND((C39-F39)*100/F39,1)&amp;"%","—")</f>
        <v/>
      </c>
      <c r="H39" s="13" t="inlineStr">
        <is>
          <t>Custom</t>
        </is>
      </c>
    </row>
    <row r="40" ht="14" customHeight="1">
      <c r="A40" s="13" t="n">
        <v>5</v>
      </c>
      <c r="B40" s="14" t="inlineStr">
        <is>
          <t>Visakhapatnam</t>
        </is>
      </c>
      <c r="C40" s="15" t="n">
        <v>1113513</v>
      </c>
      <c r="D40" s="15" t="n">
        <v>7581</v>
      </c>
      <c r="E40" s="15" t="n">
        <v>1105932</v>
      </c>
      <c r="F40" s="15" t="n">
        <v>2681283</v>
      </c>
      <c r="G40" s="13">
        <f>IFERROR(ROUND((C40-F40)*100/F40,1)&amp;"%","—")</f>
        <v/>
      </c>
      <c r="H40" s="13" t="inlineStr">
        <is>
          <t>Custom</t>
        </is>
      </c>
    </row>
    <row r="41" ht="14" customHeight="1">
      <c r="A41" s="13" t="n">
        <v>6</v>
      </c>
      <c r="B41" s="14" t="inlineStr">
        <is>
          <t>Chandigarh</t>
        </is>
      </c>
      <c r="C41" s="15" t="n">
        <v>1381634</v>
      </c>
      <c r="D41" s="15" t="n">
        <v>11245</v>
      </c>
      <c r="E41" s="15" t="n">
        <v>1370389</v>
      </c>
      <c r="F41" s="15" t="n">
        <v>2445202</v>
      </c>
      <c r="G41" s="13">
        <f>IFERROR(ROUND((C41-F41)*100/F41,1)&amp;"%","—")</f>
        <v/>
      </c>
      <c r="H41" s="13" t="inlineStr">
        <is>
          <t>Custom</t>
        </is>
      </c>
    </row>
    <row r="42" ht="14" customHeight="1">
      <c r="A42" s="13" t="n">
        <v>7</v>
      </c>
      <c r="B42" s="14" t="inlineStr">
        <is>
          <t>Surat</t>
        </is>
      </c>
      <c r="C42" s="15" t="n">
        <v>564260</v>
      </c>
      <c r="D42" s="15" t="n">
        <v>0</v>
      </c>
      <c r="E42" s="15" t="n">
        <v>564260</v>
      </c>
      <c r="F42" s="15" t="n">
        <v>1515557</v>
      </c>
      <c r="G42" s="13">
        <f>IFERROR(ROUND((C42-F42)*100/F42,1)&amp;"%","—")</f>
        <v/>
      </c>
      <c r="H42" s="13" t="inlineStr">
        <is>
          <t>Custom</t>
        </is>
      </c>
    </row>
    <row r="43" ht="14" customHeight="1">
      <c r="A43" s="13" t="n">
        <v>8</v>
      </c>
      <c r="B43" s="14" t="inlineStr">
        <is>
          <t>Madurai</t>
        </is>
      </c>
      <c r="C43" s="15" t="n">
        <v>565539</v>
      </c>
      <c r="D43" s="15" t="n">
        <v>58056</v>
      </c>
      <c r="E43" s="15" t="n">
        <v>507483</v>
      </c>
      <c r="F43" s="15" t="n">
        <v>1422337</v>
      </c>
      <c r="G43" s="13">
        <f>IFERROR(ROUND((C43-F43)*100/F43,1)&amp;"%","—")</f>
        <v/>
      </c>
      <c r="H43" s="13" t="inlineStr">
        <is>
          <t>Custom</t>
        </is>
      </c>
    </row>
    <row r="44" ht="14" customHeight="1">
      <c r="A44" s="13" t="n">
        <v>9</v>
      </c>
      <c r="B44" s="14" t="inlineStr">
        <is>
          <t>Aurangabad</t>
        </is>
      </c>
      <c r="C44" s="15" t="n">
        <v>145561</v>
      </c>
      <c r="D44" s="15" t="n">
        <v>0</v>
      </c>
      <c r="E44" s="15" t="n">
        <v>145561</v>
      </c>
      <c r="F44" s="15" t="n">
        <v>347734</v>
      </c>
      <c r="G44" s="13">
        <f>IFERROR(ROUND((C44-F44)*100/F44,1)&amp;"%","—")</f>
        <v/>
      </c>
      <c r="H44" s="13" t="inlineStr">
        <is>
          <t>Custom</t>
        </is>
      </c>
    </row>
    <row r="45" ht="14" customHeight="1">
      <c r="A45" s="13" t="n">
        <v>10</v>
      </c>
      <c r="B45" s="14" t="inlineStr">
        <is>
          <t>Gaya</t>
        </is>
      </c>
      <c r="C45" s="15" t="n">
        <v>69655</v>
      </c>
      <c r="D45" s="15" t="n">
        <v>13083</v>
      </c>
      <c r="E45" s="15" t="n">
        <v>56572</v>
      </c>
      <c r="F45" s="15" t="n">
        <v>237452</v>
      </c>
      <c r="G45" s="13">
        <f>IFERROR(ROUND((C45-F45)*100/F45,1)&amp;"%","—")</f>
        <v/>
      </c>
      <c r="H45" s="13" t="inlineStr">
        <is>
          <t>Custom</t>
        </is>
      </c>
    </row>
    <row r="46" ht="15" customHeight="1">
      <c r="A46" s="24" t="inlineStr"/>
      <c r="B46" s="25" t="inlineStr">
        <is>
          <t>TOTAL CUSTOM</t>
        </is>
      </c>
      <c r="C46" s="26" t="n">
        <v>11057635</v>
      </c>
      <c r="D46" s="26" t="n">
        <v>96434</v>
      </c>
      <c r="E46" s="26" t="n">
        <v>10961201</v>
      </c>
      <c r="F46" s="26" t="n">
        <v>27396548</v>
      </c>
      <c r="G46" s="24">
        <f>IFERROR(ROUND((C46-F46)*100/F46,1)&amp;"%","—")</f>
        <v/>
      </c>
      <c r="H46" s="24" t="inlineStr"/>
    </row>
    <row r="47" ht="15" customHeight="1">
      <c r="A47" s="27" t="inlineStr"/>
      <c r="B47" s="28" t="inlineStr">
        <is>
          <t>GRAND TOTAL</t>
        </is>
      </c>
      <c r="C47" s="29" t="n">
        <v>115379783</v>
      </c>
      <c r="D47" s="29" t="n">
        <v>10128283</v>
      </c>
      <c r="E47" s="29" t="n">
        <v>105251500</v>
      </c>
      <c r="F47" s="29" t="n">
        <v>341050651</v>
      </c>
      <c r="G47" s="27">
        <f>IFERROR(ROUND((C47-F47)*100/F47,1)&amp;"%","—")</f>
        <v/>
      </c>
      <c r="H47" s="27" t="inlineStr"/>
    </row>
  </sheetData>
  <mergeCells count="5">
    <mergeCell ref="A4:H4"/>
    <mergeCell ref="A26:H26"/>
    <mergeCell ref="A35:H35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  <col width="26" customWidth="1" min="8" max="8"/>
  </cols>
  <sheetData>
    <row r="1" ht="26" customHeight="1">
      <c r="A1" s="9" t="inlineStr">
        <is>
          <t>ANNEXURE III-C: Total Passengers (Intl + Domestic) | 2021-2022</t>
        </is>
      </c>
    </row>
    <row r="2" ht="14" customHeight="1">
      <c r="A2" s="10" t="inlineStr">
        <is>
          <t>Source: DGCA Annexure-III | April to March 2021-2022</t>
        </is>
      </c>
    </row>
    <row r="3" ht="30" customHeight="1">
      <c r="A3" s="11" t="inlineStr">
        <is>
          <t>S.No</t>
        </is>
      </c>
      <c r="B3" s="11" t="inlineStr">
        <is>
          <t>Airport</t>
        </is>
      </c>
      <c r="C3" s="11" t="inlineStr">
        <is>
          <t>FY Current
(Total)</t>
        </is>
      </c>
      <c r="D3" s="11" t="inlineStr">
        <is>
          <t>FY Intl</t>
        </is>
      </c>
      <c r="E3" s="11" t="inlineStr">
        <is>
          <t>FY Domestic</t>
        </is>
      </c>
      <c r="F3" s="11" t="inlineStr">
        <is>
          <t>FY Prev
(Total)</t>
        </is>
      </c>
      <c r="G3" s="11" t="inlineStr">
        <is>
          <t>FY
Change%</t>
        </is>
      </c>
      <c r="H3" s="11" t="inlineStr">
        <is>
          <t>Airport Category</t>
        </is>
      </c>
    </row>
    <row r="4" ht="16" customHeight="1">
      <c r="A4" s="12" t="inlineStr">
        <is>
          <t>INTERNATIONAL AIRPORTS</t>
        </is>
      </c>
      <c r="B4" s="34" t="n"/>
      <c r="C4" s="34" t="n"/>
      <c r="D4" s="34" t="n"/>
      <c r="E4" s="34" t="n"/>
      <c r="F4" s="34" t="n"/>
      <c r="G4" s="34" t="n"/>
      <c r="H4" s="35" t="n"/>
    </row>
    <row r="5" ht="14" customHeight="1">
      <c r="A5" s="13" t="n">
        <v>1</v>
      </c>
      <c r="B5" s="14" t="inlineStr">
        <is>
          <t>Kolkata</t>
        </is>
      </c>
      <c r="C5" s="15" t="n">
        <v>11036108</v>
      </c>
      <c r="D5" s="15" t="n">
        <v>342665</v>
      </c>
      <c r="E5" s="15" t="n">
        <v>10693443</v>
      </c>
      <c r="F5" s="15" t="n">
        <v>7728906</v>
      </c>
      <c r="G5" s="13">
        <f>IFERROR(ROUND((C5-F5)*100/F5,1)&amp;"%","—")</f>
        <v/>
      </c>
      <c r="H5" s="13" t="inlineStr">
        <is>
          <t>International</t>
        </is>
      </c>
    </row>
    <row r="6" ht="14" customHeight="1">
      <c r="A6" s="13" t="n">
        <v>2</v>
      </c>
      <c r="B6" s="14" t="inlineStr">
        <is>
          <t>Chennai</t>
        </is>
      </c>
      <c r="C6" s="15" t="n">
        <v>9533301</v>
      </c>
      <c r="D6" s="15" t="n">
        <v>1674644</v>
      </c>
      <c r="E6" s="15" t="n">
        <v>7858657</v>
      </c>
      <c r="F6" s="15" t="n">
        <v>5495707</v>
      </c>
      <c r="G6" s="13">
        <f>IFERROR(ROUND((C6-F6)*100/F6,1)&amp;"%","—")</f>
        <v/>
      </c>
      <c r="H6" s="13" t="inlineStr">
        <is>
          <t>International</t>
        </is>
      </c>
    </row>
    <row r="7" ht="14" customHeight="1">
      <c r="A7" s="13" t="n">
        <v>3</v>
      </c>
      <c r="B7" s="14" t="inlineStr">
        <is>
          <t>Goa</t>
        </is>
      </c>
      <c r="C7" s="15" t="n">
        <v>5238051</v>
      </c>
      <c r="D7" s="15" t="n">
        <v>104200</v>
      </c>
      <c r="E7" s="15" t="n">
        <v>5133851</v>
      </c>
      <c r="F7" s="15" t="n">
        <v>2890545</v>
      </c>
      <c r="G7" s="13">
        <f>IFERROR(ROUND((C7-F7)*100/F7,1)&amp;"%","—")</f>
        <v/>
      </c>
      <c r="H7" s="13" t="inlineStr">
        <is>
          <t>International</t>
        </is>
      </c>
    </row>
    <row r="8" ht="14" customHeight="1">
      <c r="A8" s="13" t="n">
        <v>4</v>
      </c>
      <c r="B8" s="14" t="inlineStr">
        <is>
          <t>Srinagar</t>
        </is>
      </c>
      <c r="C8" s="15" t="n">
        <v>3158400</v>
      </c>
      <c r="D8" s="15" t="n">
        <v>8678</v>
      </c>
      <c r="E8" s="15" t="n">
        <v>3149722</v>
      </c>
      <c r="F8" s="15" t="n">
        <v>1802904</v>
      </c>
      <c r="G8" s="13">
        <f>IFERROR(ROUND((C8-F8)*100/F8,1)&amp;"%","—")</f>
        <v/>
      </c>
      <c r="H8" s="13" t="inlineStr">
        <is>
          <t>International</t>
        </is>
      </c>
    </row>
    <row r="9" ht="14" customHeight="1">
      <c r="A9" s="13" t="n">
        <v>5</v>
      </c>
      <c r="B9" s="14" t="inlineStr">
        <is>
          <t>Bhubaneswar</t>
        </is>
      </c>
      <c r="C9" s="15" t="n">
        <v>2135893</v>
      </c>
      <c r="D9" s="15" t="n">
        <v>16</v>
      </c>
      <c r="E9" s="15" t="n">
        <v>2135877</v>
      </c>
      <c r="F9" s="15" t="n">
        <v>1571933</v>
      </c>
      <c r="G9" s="13">
        <f>IFERROR(ROUND((C9-F9)*100/F9,1)&amp;"%","—")</f>
        <v/>
      </c>
      <c r="H9" s="13" t="inlineStr">
        <is>
          <t>International</t>
        </is>
      </c>
    </row>
    <row r="10" ht="14" customHeight="1">
      <c r="A10" s="13" t="n">
        <v>6</v>
      </c>
      <c r="B10" s="14" t="inlineStr">
        <is>
          <t>Varanasi</t>
        </is>
      </c>
      <c r="C10" s="15" t="n">
        <v>1708220</v>
      </c>
      <c r="D10" s="15" t="n">
        <v>55138</v>
      </c>
      <c r="E10" s="15" t="n">
        <v>1653082</v>
      </c>
      <c r="F10" s="15" t="n">
        <v>1466718</v>
      </c>
      <c r="G10" s="13">
        <f>IFERROR(ROUND((C10-F10)*100/F10,1)&amp;"%","—")</f>
        <v/>
      </c>
      <c r="H10" s="13" t="inlineStr">
        <is>
          <t>International</t>
        </is>
      </c>
    </row>
    <row r="11" ht="14" customHeight="1">
      <c r="A11" s="13" t="n">
        <v>7</v>
      </c>
      <c r="B11" s="14" t="inlineStr">
        <is>
          <t>Calicut</t>
        </is>
      </c>
      <c r="C11" s="15" t="n">
        <v>1665145</v>
      </c>
      <c r="D11" s="15" t="n">
        <v>1355424</v>
      </c>
      <c r="E11" s="15" t="n">
        <v>309721</v>
      </c>
      <c r="F11" s="15" t="n">
        <v>902012</v>
      </c>
      <c r="G11" s="13">
        <f>IFERROR(ROUND((C11-F11)*100/F11,1)&amp;"%","—")</f>
        <v/>
      </c>
      <c r="H11" s="13" t="inlineStr">
        <is>
          <t>International</t>
        </is>
      </c>
    </row>
    <row r="12" ht="14" customHeight="1">
      <c r="A12" s="13" t="n">
        <v>8</v>
      </c>
      <c r="B12" s="14" t="inlineStr">
        <is>
          <t>Amritsar</t>
        </is>
      </c>
      <c r="C12" s="15" t="n">
        <v>1382004</v>
      </c>
      <c r="D12" s="15" t="n">
        <v>341121</v>
      </c>
      <c r="E12" s="15" t="n">
        <v>1040883</v>
      </c>
      <c r="F12" s="15" t="n">
        <v>854352</v>
      </c>
      <c r="G12" s="13">
        <f>IFERROR(ROUND((C12-F12)*100/F12,1)&amp;"%","—")</f>
        <v/>
      </c>
      <c r="H12" s="13" t="inlineStr">
        <is>
          <t>International</t>
        </is>
      </c>
    </row>
    <row r="13" ht="14" customHeight="1">
      <c r="A13" s="13" t="n">
        <v>9</v>
      </c>
      <c r="B13" s="14" t="inlineStr">
        <is>
          <t>Coimbatore</t>
        </is>
      </c>
      <c r="C13" s="15" t="n">
        <v>1285922</v>
      </c>
      <c r="D13" s="15" t="n">
        <v>65382</v>
      </c>
      <c r="E13" s="15" t="n">
        <v>1220540</v>
      </c>
      <c r="F13" s="15" t="n">
        <v>846649</v>
      </c>
      <c r="G13" s="13">
        <f>IFERROR(ROUND((C13-F13)*100/F13,1)&amp;"%","—")</f>
        <v/>
      </c>
      <c r="H13" s="13" t="inlineStr">
        <is>
          <t>International</t>
        </is>
      </c>
    </row>
    <row r="14" ht="14" customHeight="1">
      <c r="A14" s="13" t="n">
        <v>10</v>
      </c>
      <c r="B14" s="14" t="inlineStr">
        <is>
          <t>Vijayawada</t>
        </is>
      </c>
      <c r="C14" s="15" t="n">
        <v>625131</v>
      </c>
      <c r="D14" s="15" t="n">
        <v>46020</v>
      </c>
      <c r="E14" s="15" t="n">
        <v>579111</v>
      </c>
      <c r="F14" s="15" t="n">
        <v>507215</v>
      </c>
      <c r="G14" s="13">
        <f>IFERROR(ROUND((C14-F14)*100/F14,1)&amp;"%","—")</f>
        <v/>
      </c>
      <c r="H14" s="13" t="inlineStr">
        <is>
          <t>International</t>
        </is>
      </c>
    </row>
    <row r="15" ht="14" customHeight="1">
      <c r="A15" s="13" t="n">
        <v>11</v>
      </c>
      <c r="B15" s="14" t="inlineStr">
        <is>
          <t>Imphal</t>
        </is>
      </c>
      <c r="C15" s="15" t="n">
        <v>814913</v>
      </c>
      <c r="D15" s="15" t="n">
        <v>0</v>
      </c>
      <c r="E15" s="15" t="n">
        <v>814913</v>
      </c>
      <c r="F15" s="15" t="n">
        <v>492752</v>
      </c>
      <c r="G15" s="13">
        <f>IFERROR(ROUND((C15-F15)*100/F15,1)&amp;"%","—")</f>
        <v/>
      </c>
      <c r="H15" s="13" t="inlineStr">
        <is>
          <t>International</t>
        </is>
      </c>
    </row>
    <row r="16" ht="14" customHeight="1">
      <c r="A16" s="13" t="n">
        <v>12</v>
      </c>
      <c r="B16" s="14" t="inlineStr">
        <is>
          <t>Port Blair</t>
        </is>
      </c>
      <c r="C16" s="15" t="n">
        <v>761610</v>
      </c>
      <c r="D16" s="15" t="n">
        <v>0</v>
      </c>
      <c r="E16" s="15" t="n">
        <v>761610</v>
      </c>
      <c r="F16" s="15" t="n">
        <v>400361</v>
      </c>
      <c r="G16" s="13">
        <f>IFERROR(ROUND((C16-F16)*100/F16,1)&amp;"%","—")</f>
        <v/>
      </c>
      <c r="H16" s="13" t="inlineStr">
        <is>
          <t>International</t>
        </is>
      </c>
    </row>
    <row r="17" ht="14" customHeight="1">
      <c r="A17" s="13" t="n">
        <v>13</v>
      </c>
      <c r="B17" s="14" t="inlineStr">
        <is>
          <t>Trichy</t>
        </is>
      </c>
      <c r="C17" s="15" t="n">
        <v>556707</v>
      </c>
      <c r="D17" s="15" t="n">
        <v>407430</v>
      </c>
      <c r="E17" s="15" t="n">
        <v>149277</v>
      </c>
      <c r="F17" s="15" t="n">
        <v>355903</v>
      </c>
      <c r="G17" s="13">
        <f>IFERROR(ROUND((C17-F17)*100/F17,1)&amp;"%","—")</f>
        <v/>
      </c>
      <c r="H17" s="13" t="inlineStr">
        <is>
          <t>International</t>
        </is>
      </c>
    </row>
    <row r="18" ht="14" customHeight="1">
      <c r="A18" s="13" t="n">
        <v>14</v>
      </c>
      <c r="B18" s="14" t="inlineStr">
        <is>
          <t>Tirupati</t>
        </is>
      </c>
      <c r="C18" s="15" t="n">
        <v>623341</v>
      </c>
      <c r="D18" s="15" t="n">
        <v>27</v>
      </c>
      <c r="E18" s="15" t="n">
        <v>623314</v>
      </c>
      <c r="F18" s="15" t="n">
        <v>352375</v>
      </c>
      <c r="G18" s="13">
        <f>IFERROR(ROUND((C18-F18)*100/F18,1)&amp;"%","—")</f>
        <v/>
      </c>
      <c r="H18" s="13" t="inlineStr">
        <is>
          <t>International</t>
        </is>
      </c>
    </row>
    <row r="19" ht="14" customHeight="1">
      <c r="A19" s="13" t="n">
        <v>15</v>
      </c>
      <c r="B19" s="14" t="inlineStr">
        <is>
          <t>Kushinagar</t>
        </is>
      </c>
      <c r="C19" s="15" t="n">
        <v>11155</v>
      </c>
      <c r="D19" s="15" t="n">
        <v>257</v>
      </c>
      <c r="E19" s="15" t="n">
        <v>10898</v>
      </c>
      <c r="F19" s="15" t="n">
        <v>0</v>
      </c>
      <c r="G19" s="13">
        <f>IFERROR(ROUND((C19-F19)*100/F19,1)&amp;"%","—")</f>
        <v/>
      </c>
      <c r="H19" s="13" t="inlineStr">
        <is>
          <t>International</t>
        </is>
      </c>
    </row>
    <row r="20" ht="15" customHeight="1">
      <c r="A20" s="16" t="inlineStr"/>
      <c r="B20" s="17" t="inlineStr">
        <is>
          <t>TOTAL INTL</t>
        </is>
      </c>
      <c r="C20" s="18" t="n">
        <v>40535901</v>
      </c>
      <c r="D20" s="18" t="n">
        <v>4401002</v>
      </c>
      <c r="E20" s="18" t="n">
        <v>36134899</v>
      </c>
      <c r="F20" s="18" t="n">
        <v>25668332</v>
      </c>
      <c r="G20" s="16">
        <f>IFERROR(ROUND((C20-F20)*100/F20,1)&amp;"%","—")</f>
        <v/>
      </c>
      <c r="H20" s="16" t="inlineStr"/>
    </row>
    <row r="21" ht="16" customHeight="1">
      <c r="A21" s="30" t="inlineStr">
        <is>
          <t>PPP INTERNATIONAL</t>
        </is>
      </c>
      <c r="B21" s="34" t="n"/>
      <c r="C21" s="34" t="n"/>
      <c r="D21" s="34" t="n"/>
      <c r="E21" s="34" t="n"/>
      <c r="F21" s="34" t="n"/>
      <c r="G21" s="34" t="n"/>
      <c r="H21" s="35" t="n"/>
    </row>
    <row r="22" ht="14" customHeight="1">
      <c r="A22" s="13" t="n">
        <v>1</v>
      </c>
      <c r="B22" s="14" t="inlineStr">
        <is>
          <t>Ahmedabad</t>
        </is>
      </c>
      <c r="C22" s="15" t="n">
        <v>5670896</v>
      </c>
      <c r="D22" s="15" t="n">
        <v>625423</v>
      </c>
      <c r="E22" s="15" t="n">
        <v>5045473</v>
      </c>
      <c r="F22" s="15" t="n">
        <v>3642413</v>
      </c>
      <c r="G22" s="13">
        <f>IFERROR(ROUND((C22-F22)*100/F22,1)&amp;"%","—")</f>
        <v/>
      </c>
      <c r="H22" s="13" t="inlineStr">
        <is>
          <t>PPP International</t>
        </is>
      </c>
    </row>
    <row r="23" ht="14" customHeight="1">
      <c r="A23" s="13" t="n">
        <v>2</v>
      </c>
      <c r="B23" s="14" t="inlineStr">
        <is>
          <t>Lucknow</t>
        </is>
      </c>
      <c r="C23" s="15" t="n">
        <v>3303960</v>
      </c>
      <c r="D23" s="15" t="n">
        <v>592722</v>
      </c>
      <c r="E23" s="15" t="n">
        <v>2711238</v>
      </c>
      <c r="F23" s="15" t="n">
        <v>2441037</v>
      </c>
      <c r="G23" s="13">
        <f>IFERROR(ROUND((C23-F23)*100/F23,1)&amp;"%","—")</f>
        <v/>
      </c>
      <c r="H23" s="13" t="inlineStr">
        <is>
          <t>PPP International</t>
        </is>
      </c>
    </row>
    <row r="24" ht="14" customHeight="1">
      <c r="A24" s="13" t="n">
        <v>3</v>
      </c>
      <c r="B24" s="14" t="inlineStr">
        <is>
          <t>Mangaluru</t>
        </is>
      </c>
      <c r="C24" s="15" t="n">
        <v>1013453</v>
      </c>
      <c r="D24" s="15" t="n">
        <v>243801</v>
      </c>
      <c r="E24" s="15" t="n">
        <v>769652</v>
      </c>
      <c r="F24" s="15" t="n">
        <v>614845</v>
      </c>
      <c r="G24" s="13">
        <f>IFERROR(ROUND((C24-F24)*100/F24,1)&amp;"%","—")</f>
        <v/>
      </c>
      <c r="H24" s="13" t="inlineStr">
        <is>
          <t>PPP International</t>
        </is>
      </c>
    </row>
    <row r="25" ht="14" customHeight="1">
      <c r="A25" s="13" t="n">
        <v>4</v>
      </c>
      <c r="B25" s="14" t="inlineStr">
        <is>
          <t>Guwahati</t>
        </is>
      </c>
      <c r="C25" s="15" t="n">
        <v>3148956</v>
      </c>
      <c r="D25" s="15" t="n">
        <v>16</v>
      </c>
      <c r="E25" s="15" t="n">
        <v>3148940</v>
      </c>
      <c r="F25" s="15" t="n">
        <v>2189135</v>
      </c>
      <c r="G25" s="13">
        <f>IFERROR(ROUND((C25-F25)*100/F25,1)&amp;"%","—")</f>
        <v/>
      </c>
      <c r="H25" s="13" t="inlineStr">
        <is>
          <t>PPP International</t>
        </is>
      </c>
    </row>
    <row r="26" ht="14" customHeight="1">
      <c r="A26" s="13" t="n">
        <v>5</v>
      </c>
      <c r="B26" s="14" t="inlineStr">
        <is>
          <t>Jaipur</t>
        </is>
      </c>
      <c r="C26" s="15" t="n">
        <v>2943171</v>
      </c>
      <c r="D26" s="15" t="n">
        <v>175004</v>
      </c>
      <c r="E26" s="15" t="n">
        <v>2768167</v>
      </c>
      <c r="F26" s="15" t="n">
        <v>1850187</v>
      </c>
      <c r="G26" s="13">
        <f>IFERROR(ROUND((C26-F26)*100/F26,1)&amp;"%","—")</f>
        <v/>
      </c>
      <c r="H26" s="13" t="inlineStr">
        <is>
          <t>PPP International</t>
        </is>
      </c>
    </row>
    <row r="27" ht="14" customHeight="1">
      <c r="A27" s="13" t="n">
        <v>6</v>
      </c>
      <c r="B27" s="14" t="inlineStr">
        <is>
          <t>Trivandrum</t>
        </is>
      </c>
      <c r="C27" s="15" t="n">
        <v>1655506</v>
      </c>
      <c r="D27" s="15" t="n">
        <v>956059</v>
      </c>
      <c r="E27" s="15" t="n">
        <v>699447</v>
      </c>
      <c r="F27" s="15" t="n">
        <v>935435</v>
      </c>
      <c r="G27" s="13">
        <f>IFERROR(ROUND((C27-F27)*100/F27,1)&amp;"%","—")</f>
        <v/>
      </c>
      <c r="H27" s="13" t="inlineStr">
        <is>
          <t>PPP International</t>
        </is>
      </c>
    </row>
    <row r="28" ht="15" customHeight="1">
      <c r="A28" s="31" t="inlineStr"/>
      <c r="B28" s="32" t="inlineStr">
        <is>
          <t>TOTAL PPP</t>
        </is>
      </c>
      <c r="C28" s="33" t="n">
        <v>17735942</v>
      </c>
      <c r="D28" s="33" t="n">
        <v>2593025</v>
      </c>
      <c r="E28" s="33" t="n">
        <v>15142917</v>
      </c>
      <c r="F28" s="33" t="n">
        <v>11673052</v>
      </c>
      <c r="G28" s="31">
        <f>IFERROR(ROUND((C28-F28)*100/F28,1)&amp;"%","—")</f>
        <v/>
      </c>
      <c r="H28" s="31" t="inlineStr"/>
    </row>
    <row r="29" ht="16" customHeight="1">
      <c r="A29" s="19" t="inlineStr">
        <is>
          <t>JV INTERNATIONAL AIRPORTS</t>
        </is>
      </c>
      <c r="B29" s="34" t="n"/>
      <c r="C29" s="34" t="n"/>
      <c r="D29" s="34" t="n"/>
      <c r="E29" s="34" t="n"/>
      <c r="F29" s="34" t="n"/>
      <c r="G29" s="34" t="n"/>
      <c r="H29" s="35" t="n"/>
    </row>
    <row r="30" ht="14" customHeight="1">
      <c r="A30" s="13" t="n">
        <v>1</v>
      </c>
      <c r="B30" s="14" t="inlineStr">
        <is>
          <t>Delhi (DIAL)</t>
        </is>
      </c>
      <c r="C30" s="15" t="n">
        <v>39339998</v>
      </c>
      <c r="D30" s="15" t="n">
        <v>6521605</v>
      </c>
      <c r="E30" s="15" t="n">
        <v>32818393</v>
      </c>
      <c r="F30" s="15" t="n">
        <v>22583736</v>
      </c>
      <c r="G30" s="13">
        <f>IFERROR(ROUND((C30-F30)*100/F30,1)&amp;"%","—")</f>
        <v/>
      </c>
      <c r="H30" s="13" t="inlineStr">
        <is>
          <t>JV International</t>
        </is>
      </c>
    </row>
    <row r="31" ht="14" customHeight="1">
      <c r="A31" s="13" t="n">
        <v>2</v>
      </c>
      <c r="B31" s="14" t="inlineStr">
        <is>
          <t>Mumbai (MIAL)</t>
        </is>
      </c>
      <c r="C31" s="15" t="n">
        <v>21747892</v>
      </c>
      <c r="D31" s="15" t="n">
        <v>3182990</v>
      </c>
      <c r="E31" s="15" t="n">
        <v>18564902</v>
      </c>
      <c r="F31" s="15" t="n">
        <v>11054811</v>
      </c>
      <c r="G31" s="13">
        <f>IFERROR(ROUND((C31-F31)*100/F31,1)&amp;"%","—")</f>
        <v/>
      </c>
      <c r="H31" s="13" t="inlineStr">
        <is>
          <t>JV International</t>
        </is>
      </c>
    </row>
    <row r="32" ht="14" customHeight="1">
      <c r="A32" s="13" t="n">
        <v>3</v>
      </c>
      <c r="B32" s="14" t="inlineStr">
        <is>
          <t>Bengaluru (BIAL)</t>
        </is>
      </c>
      <c r="C32" s="15" t="n">
        <v>16287097</v>
      </c>
      <c r="D32" s="15" t="n">
        <v>1101152</v>
      </c>
      <c r="E32" s="15" t="n">
        <v>15185945</v>
      </c>
      <c r="F32" s="15" t="n">
        <v>10914194</v>
      </c>
      <c r="G32" s="13">
        <f>IFERROR(ROUND((C32-F32)*100/F32,1)&amp;"%","—")</f>
        <v/>
      </c>
      <c r="H32" s="13" t="inlineStr">
        <is>
          <t>JV International</t>
        </is>
      </c>
    </row>
    <row r="33" ht="14" customHeight="1">
      <c r="A33" s="13" t="n">
        <v>4</v>
      </c>
      <c r="B33" s="14" t="inlineStr">
        <is>
          <t>Hyderabad (GHIAL)</t>
        </is>
      </c>
      <c r="C33" s="15" t="n">
        <v>12429796</v>
      </c>
      <c r="D33" s="15" t="n">
        <v>1430140</v>
      </c>
      <c r="E33" s="15" t="n">
        <v>10999656</v>
      </c>
      <c r="F33" s="15" t="n">
        <v>8048248</v>
      </c>
      <c r="G33" s="13">
        <f>IFERROR(ROUND((C33-F33)*100/F33,1)&amp;"%","—")</f>
        <v/>
      </c>
      <c r="H33" s="13" t="inlineStr">
        <is>
          <t>JV International</t>
        </is>
      </c>
    </row>
    <row r="34" ht="14" customHeight="1">
      <c r="A34" s="13" t="n">
        <v>5</v>
      </c>
      <c r="B34" s="14" t="inlineStr">
        <is>
          <t>Kochi (CIAL)</t>
        </is>
      </c>
      <c r="C34" s="15" t="n">
        <v>4717777</v>
      </c>
      <c r="D34" s="15" t="n">
        <v>2201982</v>
      </c>
      <c r="E34" s="15" t="n">
        <v>2515795</v>
      </c>
      <c r="F34" s="15" t="n">
        <v>2458458</v>
      </c>
      <c r="G34" s="13">
        <f>IFERROR(ROUND((C34-F34)*100/F34,1)&amp;"%","—")</f>
        <v/>
      </c>
      <c r="H34" s="13" t="inlineStr">
        <is>
          <t>JV International</t>
        </is>
      </c>
    </row>
    <row r="35" ht="14" customHeight="1">
      <c r="A35" s="13" t="n">
        <v>6</v>
      </c>
      <c r="B35" s="14" t="inlineStr">
        <is>
          <t>Nagpur</t>
        </is>
      </c>
      <c r="C35" s="15" t="n">
        <v>1605433</v>
      </c>
      <c r="D35" s="15" t="n">
        <v>11267</v>
      </c>
      <c r="E35" s="15" t="n">
        <v>1594166</v>
      </c>
      <c r="F35" s="15" t="n">
        <v>948237</v>
      </c>
      <c r="G35" s="13">
        <f>IFERROR(ROUND((C35-F35)*100/F35,1)&amp;"%","—")</f>
        <v/>
      </c>
      <c r="H35" s="13" t="inlineStr">
        <is>
          <t>JV International</t>
        </is>
      </c>
    </row>
    <row r="36" ht="14" customHeight="1">
      <c r="A36" s="13" t="n">
        <v>7</v>
      </c>
      <c r="B36" s="14" t="inlineStr">
        <is>
          <t>Kannur (KIAL)</t>
        </is>
      </c>
      <c r="C36" s="15" t="n">
        <v>799122</v>
      </c>
      <c r="D36" s="15" t="n">
        <v>522630</v>
      </c>
      <c r="E36" s="15" t="n">
        <v>276492</v>
      </c>
      <c r="F36" s="15" t="n">
        <v>481084</v>
      </c>
      <c r="G36" s="13">
        <f>IFERROR(ROUND((C36-F36)*100/F36,1)&amp;"%","—")</f>
        <v/>
      </c>
      <c r="H36" s="13" t="inlineStr">
        <is>
          <t>JV International</t>
        </is>
      </c>
    </row>
    <row r="37" ht="15" customHeight="1">
      <c r="A37" s="20" t="inlineStr"/>
      <c r="B37" s="21" t="inlineStr">
        <is>
          <t>TOTAL JV</t>
        </is>
      </c>
      <c r="C37" s="22" t="n">
        <v>96927115</v>
      </c>
      <c r="D37" s="22" t="n">
        <v>14971766</v>
      </c>
      <c r="E37" s="22" t="n">
        <v>81955349</v>
      </c>
      <c r="F37" s="22" t="n">
        <v>56488768</v>
      </c>
      <c r="G37" s="20">
        <f>IFERROR(ROUND((C37-F37)*100/F37,1)&amp;"%","—")</f>
        <v/>
      </c>
      <c r="H37" s="20" t="inlineStr"/>
    </row>
    <row r="38" ht="16" customHeight="1">
      <c r="A38" s="36" t="inlineStr">
        <is>
          <t>ST GOVT/PVT INTERNATIONAL</t>
        </is>
      </c>
      <c r="B38" s="34" t="n"/>
      <c r="C38" s="34" t="n"/>
      <c r="D38" s="34" t="n"/>
      <c r="E38" s="34" t="n"/>
      <c r="F38" s="34" t="n"/>
      <c r="G38" s="34" t="n"/>
      <c r="H38" s="35" t="n"/>
    </row>
    <row r="39" ht="14" customHeight="1">
      <c r="A39" s="13" t="n">
        <v>1</v>
      </c>
      <c r="B39" s="14" t="inlineStr">
        <is>
          <t>Shirdi</t>
        </is>
      </c>
      <c r="C39" s="15" t="n">
        <v>176787</v>
      </c>
      <c r="D39" s="15" t="n">
        <v>0</v>
      </c>
      <c r="E39" s="15" t="n">
        <v>176787</v>
      </c>
      <c r="F39" s="15" t="n">
        <v>85673</v>
      </c>
      <c r="G39" s="13">
        <f>IFERROR(ROUND((C39-F39)*100/F39,1)&amp;"%","—")</f>
        <v/>
      </c>
      <c r="H39" s="13" t="inlineStr">
        <is>
          <t>St Govt/Pvt Intl</t>
        </is>
      </c>
    </row>
    <row r="40" ht="15" customHeight="1">
      <c r="A40" s="37" t="inlineStr"/>
      <c r="B40" s="38" t="inlineStr">
        <is>
          <t>TOTAL ST GOVT/PVT</t>
        </is>
      </c>
      <c r="C40" s="39" t="n">
        <v>176787</v>
      </c>
      <c r="D40" s="39" t="n">
        <v>0</v>
      </c>
      <c r="E40" s="39" t="n">
        <v>176787</v>
      </c>
      <c r="F40" s="39" t="n">
        <v>85673</v>
      </c>
      <c r="G40" s="37">
        <f>IFERROR(ROUND((C40-F40)*100/F40,1)&amp;"%","—")</f>
        <v/>
      </c>
      <c r="H40" s="37" t="inlineStr"/>
    </row>
    <row r="41" ht="16" customHeight="1">
      <c r="A41" s="23" t="inlineStr">
        <is>
          <t>CUSTOM AIRPORTS</t>
        </is>
      </c>
      <c r="B41" s="34" t="n"/>
      <c r="C41" s="34" t="n"/>
      <c r="D41" s="34" t="n"/>
      <c r="E41" s="34" t="n"/>
      <c r="F41" s="34" t="n"/>
      <c r="G41" s="34" t="n"/>
      <c r="H41" s="35" t="n"/>
    </row>
    <row r="42" ht="14" customHeight="1">
      <c r="A42" s="13" t="n">
        <v>1</v>
      </c>
      <c r="B42" s="14" t="inlineStr">
        <is>
          <t>Pune</t>
        </is>
      </c>
      <c r="C42" s="15" t="n">
        <v>3713491</v>
      </c>
      <c r="D42" s="15" t="n">
        <v>18455</v>
      </c>
      <c r="E42" s="15" t="n">
        <v>3695036</v>
      </c>
      <c r="F42" s="15" t="n">
        <v>2137859</v>
      </c>
      <c r="G42" s="13">
        <f>IFERROR(ROUND((C42-F42)*100/F42,1)&amp;"%","—")</f>
        <v/>
      </c>
      <c r="H42" s="13" t="inlineStr">
        <is>
          <t>Custom</t>
        </is>
      </c>
    </row>
    <row r="43" ht="14" customHeight="1">
      <c r="A43" s="13" t="n">
        <v>2</v>
      </c>
      <c r="B43" s="14" t="inlineStr">
        <is>
          <t>Patna</t>
        </is>
      </c>
      <c r="C43" s="15" t="n">
        <v>2967681</v>
      </c>
      <c r="D43" s="15" t="n">
        <v>0</v>
      </c>
      <c r="E43" s="15" t="n">
        <v>2967681</v>
      </c>
      <c r="F43" s="15" t="n">
        <v>2710000</v>
      </c>
      <c r="G43" s="13">
        <f>IFERROR(ROUND((C43-F43)*100/F43,1)&amp;"%","—")</f>
        <v/>
      </c>
      <c r="H43" s="13" t="inlineStr">
        <is>
          <t>Custom</t>
        </is>
      </c>
    </row>
    <row r="44" ht="14" customHeight="1">
      <c r="A44" s="13" t="n">
        <v>3</v>
      </c>
      <c r="B44" s="14" t="inlineStr">
        <is>
          <t>Bagdogra</t>
        </is>
      </c>
      <c r="C44" s="15" t="n">
        <v>1980049</v>
      </c>
      <c r="D44" s="15" t="n">
        <v>546</v>
      </c>
      <c r="E44" s="15" t="n">
        <v>1979503</v>
      </c>
      <c r="F44" s="15" t="n">
        <v>1473310</v>
      </c>
      <c r="G44" s="13">
        <f>IFERROR(ROUND((C44-F44)*100/F44,1)&amp;"%","—")</f>
        <v/>
      </c>
      <c r="H44" s="13" t="inlineStr">
        <is>
          <t>Custom</t>
        </is>
      </c>
    </row>
    <row r="45" ht="14" customHeight="1">
      <c r="A45" s="13" t="n">
        <v>4</v>
      </c>
      <c r="B45" s="14" t="inlineStr">
        <is>
          <t>Chandigarh</t>
        </is>
      </c>
      <c r="C45" s="15" t="n">
        <v>2289169</v>
      </c>
      <c r="D45" s="15" t="n">
        <v>17936</v>
      </c>
      <c r="E45" s="15" t="n">
        <v>2271233</v>
      </c>
      <c r="F45" s="15" t="n">
        <v>1381634</v>
      </c>
      <c r="G45" s="13">
        <f>IFERROR(ROUND((C45-F45)*100/F45,1)&amp;"%","—")</f>
        <v/>
      </c>
      <c r="H45" s="13" t="inlineStr">
        <is>
          <t>Custom</t>
        </is>
      </c>
    </row>
    <row r="46" ht="14" customHeight="1">
      <c r="A46" s="13" t="n">
        <v>5</v>
      </c>
      <c r="B46" s="14" t="inlineStr">
        <is>
          <t>Visakhapatnam</t>
        </is>
      </c>
      <c r="C46" s="15" t="n">
        <v>1610483</v>
      </c>
      <c r="D46" s="15" t="n">
        <v>2979</v>
      </c>
      <c r="E46" s="15" t="n">
        <v>1607504</v>
      </c>
      <c r="F46" s="15" t="n">
        <v>1113513</v>
      </c>
      <c r="G46" s="13">
        <f>IFERROR(ROUND((C46-F46)*100/F46,1)&amp;"%","—")</f>
        <v/>
      </c>
      <c r="H46" s="13" t="inlineStr">
        <is>
          <t>Custom</t>
        </is>
      </c>
    </row>
    <row r="47" ht="14" customHeight="1">
      <c r="A47" s="13" t="n">
        <v>6</v>
      </c>
      <c r="B47" s="14" t="inlineStr">
        <is>
          <t>Indore</t>
        </is>
      </c>
      <c r="C47" s="15" t="n">
        <v>1629668</v>
      </c>
      <c r="D47" s="15" t="n">
        <v>6986</v>
      </c>
      <c r="E47" s="15" t="n">
        <v>1622682</v>
      </c>
      <c r="F47" s="15" t="n">
        <v>896304</v>
      </c>
      <c r="G47" s="13">
        <f>IFERROR(ROUND((C47-F47)*100/F47,1)&amp;"%","—")</f>
        <v/>
      </c>
      <c r="H47" s="13" t="inlineStr">
        <is>
          <t>Custom</t>
        </is>
      </c>
    </row>
    <row r="48" ht="14" customHeight="1">
      <c r="A48" s="13" t="n">
        <v>7</v>
      </c>
      <c r="B48" s="14" t="inlineStr">
        <is>
          <t>Madurai</t>
        </is>
      </c>
      <c r="C48" s="15" t="n">
        <v>679781</v>
      </c>
      <c r="D48" s="15" t="n">
        <v>60524</v>
      </c>
      <c r="E48" s="15" t="n">
        <v>619257</v>
      </c>
      <c r="F48" s="15" t="n">
        <v>565539</v>
      </c>
      <c r="G48" s="13">
        <f>IFERROR(ROUND((C48-F48)*100/F48,1)&amp;"%","—")</f>
        <v/>
      </c>
      <c r="H48" s="13" t="inlineStr">
        <is>
          <t>Custom</t>
        </is>
      </c>
    </row>
    <row r="49" ht="14" customHeight="1">
      <c r="A49" s="13" t="n">
        <v>8</v>
      </c>
      <c r="B49" s="14" t="inlineStr">
        <is>
          <t>Surat</t>
        </is>
      </c>
      <c r="C49" s="15" t="n">
        <v>933817</v>
      </c>
      <c r="D49" s="15" t="n">
        <v>13951</v>
      </c>
      <c r="E49" s="15" t="n">
        <v>919866</v>
      </c>
      <c r="F49" s="15" t="n">
        <v>564260</v>
      </c>
      <c r="G49" s="13">
        <f>IFERROR(ROUND((C49-F49)*100/F49,1)&amp;"%","—")</f>
        <v/>
      </c>
      <c r="H49" s="13" t="inlineStr">
        <is>
          <t>Custom</t>
        </is>
      </c>
    </row>
    <row r="50" ht="14" customHeight="1">
      <c r="A50" s="13" t="n">
        <v>9</v>
      </c>
      <c r="B50" s="14" t="inlineStr">
        <is>
          <t>Aurangabad</t>
        </is>
      </c>
      <c r="C50" s="15" t="n">
        <v>250989</v>
      </c>
      <c r="D50" s="15" t="n">
        <v>0</v>
      </c>
      <c r="E50" s="15" t="n">
        <v>250989</v>
      </c>
      <c r="F50" s="15" t="n">
        <v>145561</v>
      </c>
      <c r="G50" s="13">
        <f>IFERROR(ROUND((C50-F50)*100/F50,1)&amp;"%","—")</f>
        <v/>
      </c>
      <c r="H50" s="13" t="inlineStr">
        <is>
          <t>Custom</t>
        </is>
      </c>
    </row>
    <row r="51" ht="14" customHeight="1">
      <c r="A51" s="13" t="n">
        <v>10</v>
      </c>
      <c r="B51" s="14" t="inlineStr">
        <is>
          <t>Gaya</t>
        </is>
      </c>
      <c r="C51" s="15" t="n">
        <v>47311</v>
      </c>
      <c r="D51" s="15" t="n">
        <v>1022</v>
      </c>
      <c r="E51" s="15" t="n">
        <v>46289</v>
      </c>
      <c r="F51" s="15" t="n">
        <v>69655</v>
      </c>
      <c r="G51" s="13">
        <f>IFERROR(ROUND((C51-F51)*100/F51,1)&amp;"%","—")</f>
        <v/>
      </c>
      <c r="H51" s="13" t="inlineStr">
        <is>
          <t>Custom</t>
        </is>
      </c>
    </row>
    <row r="52" ht="15" customHeight="1">
      <c r="A52" s="24" t="inlineStr"/>
      <c r="B52" s="25" t="inlineStr">
        <is>
          <t>TOTAL CUSTOM</t>
        </is>
      </c>
      <c r="C52" s="26" t="n">
        <v>16102439</v>
      </c>
      <c r="D52" s="26" t="n">
        <v>122399</v>
      </c>
      <c r="E52" s="26" t="n">
        <v>15980040</v>
      </c>
      <c r="F52" s="26" t="n">
        <v>11057635</v>
      </c>
      <c r="G52" s="24">
        <f>IFERROR(ROUND((C52-F52)*100/F52,1)&amp;"%","—")</f>
        <v/>
      </c>
      <c r="H52" s="24" t="inlineStr"/>
    </row>
    <row r="53" ht="15" customHeight="1">
      <c r="A53" s="27" t="inlineStr"/>
      <c r="B53" s="28" t="inlineStr">
        <is>
          <t>GRAND TOTAL</t>
        </is>
      </c>
      <c r="C53" s="29" t="n">
        <v>188891441</v>
      </c>
      <c r="D53" s="29" t="n">
        <v>22088224</v>
      </c>
      <c r="E53" s="29" t="n">
        <v>166803217</v>
      </c>
      <c r="F53" s="29" t="n">
        <v>115379783</v>
      </c>
      <c r="G53" s="27">
        <f>IFERROR(ROUND((C53-F53)*100/F53,1)&amp;"%","—")</f>
        <v/>
      </c>
      <c r="H53" s="27" t="inlineStr"/>
    </row>
  </sheetData>
  <mergeCells count="7">
    <mergeCell ref="A4:H4"/>
    <mergeCell ref="A21:H21"/>
    <mergeCell ref="A29:H29"/>
    <mergeCell ref="A38:H38"/>
    <mergeCell ref="A2:H2"/>
    <mergeCell ref="A41:H4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  <col width="26" customWidth="1" min="8" max="8"/>
  </cols>
  <sheetData>
    <row r="1" ht="26" customHeight="1">
      <c r="A1" s="9" t="inlineStr">
        <is>
          <t>ANNEXURE III-C: Total Passengers (Intl + Domestic) | 2022-2023</t>
        </is>
      </c>
    </row>
    <row r="2" ht="14" customHeight="1">
      <c r="A2" s="10" t="inlineStr">
        <is>
          <t>Source: DGCA Annexure-III | April to March 2022-2023</t>
        </is>
      </c>
    </row>
    <row r="3" ht="30" customHeight="1">
      <c r="A3" s="11" t="inlineStr">
        <is>
          <t>S.No</t>
        </is>
      </c>
      <c r="B3" s="11" t="inlineStr">
        <is>
          <t>Airport</t>
        </is>
      </c>
      <c r="C3" s="11" t="inlineStr">
        <is>
          <t>FY Current
(Total)</t>
        </is>
      </c>
      <c r="D3" s="11" t="inlineStr">
        <is>
          <t>FY Intl</t>
        </is>
      </c>
      <c r="E3" s="11" t="inlineStr">
        <is>
          <t>FY Domestic</t>
        </is>
      </c>
      <c r="F3" s="11" t="inlineStr">
        <is>
          <t>FY Prev
(Total)</t>
        </is>
      </c>
      <c r="G3" s="11" t="inlineStr">
        <is>
          <t>FY
Change%</t>
        </is>
      </c>
      <c r="H3" s="11" t="inlineStr">
        <is>
          <t>Airport Category</t>
        </is>
      </c>
    </row>
    <row r="4" ht="16" customHeight="1">
      <c r="A4" s="12" t="inlineStr">
        <is>
          <t>INTERNATIONAL AIRPORTS</t>
        </is>
      </c>
      <c r="B4" s="34" t="n"/>
      <c r="C4" s="34" t="n"/>
      <c r="D4" s="34" t="n"/>
      <c r="E4" s="34" t="n"/>
      <c r="F4" s="34" t="n"/>
      <c r="G4" s="34" t="n"/>
      <c r="H4" s="35" t="n"/>
    </row>
    <row r="5" ht="14" customHeight="1">
      <c r="A5" s="13" t="n">
        <v>1</v>
      </c>
      <c r="B5" s="14" t="inlineStr">
        <is>
          <t>Kolkata</t>
        </is>
      </c>
      <c r="C5" s="15" t="n">
        <v>17768862</v>
      </c>
      <c r="D5" s="15" t="n">
        <v>1965919</v>
      </c>
      <c r="E5" s="15" t="n">
        <v>15802943</v>
      </c>
      <c r="F5" s="15" t="n">
        <v>11036108</v>
      </c>
      <c r="G5" s="13">
        <f>IFERROR(ROUND((C5-F5)*100/F5,1)&amp;"%","—")</f>
        <v/>
      </c>
      <c r="H5" s="13" t="inlineStr">
        <is>
          <t>International</t>
        </is>
      </c>
    </row>
    <row r="6" ht="14" customHeight="1">
      <c r="A6" s="13" t="n">
        <v>2</v>
      </c>
      <c r="B6" s="14" t="inlineStr">
        <is>
          <t>Chennai</t>
        </is>
      </c>
      <c r="C6" s="15" t="n">
        <v>18571393</v>
      </c>
      <c r="D6" s="15" t="n">
        <v>4862634</v>
      </c>
      <c r="E6" s="15" t="n">
        <v>13708759</v>
      </c>
      <c r="F6" s="15" t="n">
        <v>9533301</v>
      </c>
      <c r="G6" s="13">
        <f>IFERROR(ROUND((C6-F6)*100/F6,1)&amp;"%","—")</f>
        <v/>
      </c>
      <c r="H6" s="13" t="inlineStr">
        <is>
          <t>International</t>
        </is>
      </c>
    </row>
    <row r="7" ht="14" customHeight="1">
      <c r="A7" s="13" t="n">
        <v>3</v>
      </c>
      <c r="B7" s="14" t="inlineStr">
        <is>
          <t>Goa</t>
        </is>
      </c>
      <c r="C7" s="15" t="n">
        <v>8359393</v>
      </c>
      <c r="D7" s="15" t="n">
        <v>467410</v>
      </c>
      <c r="E7" s="15" t="n">
        <v>7891983</v>
      </c>
      <c r="F7" s="15" t="n">
        <v>5238051</v>
      </c>
      <c r="G7" s="13">
        <f>IFERROR(ROUND((C7-F7)*100/F7,1)&amp;"%","—")</f>
        <v/>
      </c>
      <c r="H7" s="13" t="inlineStr">
        <is>
          <t>International</t>
        </is>
      </c>
    </row>
    <row r="8" ht="14" customHeight="1">
      <c r="A8" s="13" t="n">
        <v>4</v>
      </c>
      <c r="B8" s="14" t="inlineStr">
        <is>
          <t>Srinagar</t>
        </is>
      </c>
      <c r="C8" s="15" t="n">
        <v>4409665</v>
      </c>
      <c r="D8" s="15" t="n">
        <v>11591</v>
      </c>
      <c r="E8" s="15" t="n">
        <v>4398074</v>
      </c>
      <c r="F8" s="15" t="n">
        <v>3158400</v>
      </c>
      <c r="G8" s="13">
        <f>IFERROR(ROUND((C8-F8)*100/F8,1)&amp;"%","—")</f>
        <v/>
      </c>
      <c r="H8" s="13" t="inlineStr">
        <is>
          <t>International</t>
        </is>
      </c>
    </row>
    <row r="9" ht="14" customHeight="1">
      <c r="A9" s="13" t="n">
        <v>5</v>
      </c>
      <c r="B9" s="14" t="inlineStr">
        <is>
          <t>Bhubaneswar</t>
        </is>
      </c>
      <c r="C9" s="15" t="n">
        <v>3624905</v>
      </c>
      <c r="D9" s="15" t="n">
        <v>36</v>
      </c>
      <c r="E9" s="15" t="n">
        <v>3624869</v>
      </c>
      <c r="F9" s="15" t="n">
        <v>2135893</v>
      </c>
      <c r="G9" s="13">
        <f>IFERROR(ROUND((C9-F9)*100/F9,1)&amp;"%","—")</f>
        <v/>
      </c>
      <c r="H9" s="13" t="inlineStr">
        <is>
          <t>International</t>
        </is>
      </c>
    </row>
    <row r="10" ht="14" customHeight="1">
      <c r="A10" s="13" t="n">
        <v>6</v>
      </c>
      <c r="B10" s="14" t="inlineStr">
        <is>
          <t>Varanasi</t>
        </is>
      </c>
      <c r="C10" s="15" t="n">
        <v>2521442</v>
      </c>
      <c r="D10" s="15" t="n">
        <v>109419</v>
      </c>
      <c r="E10" s="15" t="n">
        <v>2412023</v>
      </c>
      <c r="F10" s="15" t="n">
        <v>1708220</v>
      </c>
      <c r="G10" s="13">
        <f>IFERROR(ROUND((C10-F10)*100/F10,1)&amp;"%","—")</f>
        <v/>
      </c>
      <c r="H10" s="13" t="inlineStr">
        <is>
          <t>International</t>
        </is>
      </c>
    </row>
    <row r="11" ht="14" customHeight="1">
      <c r="A11" s="13" t="n">
        <v>7</v>
      </c>
      <c r="B11" s="14" t="inlineStr">
        <is>
          <t>Calicut</t>
        </is>
      </c>
      <c r="C11" s="15" t="n">
        <v>2982879</v>
      </c>
      <c r="D11" s="15" t="n">
        <v>2405011</v>
      </c>
      <c r="E11" s="15" t="n">
        <v>577868</v>
      </c>
      <c r="F11" s="15" t="n">
        <v>1665145</v>
      </c>
      <c r="G11" s="13">
        <f>IFERROR(ROUND((C11-F11)*100/F11,1)&amp;"%","—")</f>
        <v/>
      </c>
      <c r="H11" s="13" t="inlineStr">
        <is>
          <t>International</t>
        </is>
      </c>
    </row>
    <row r="12" ht="14" customHeight="1">
      <c r="A12" s="13" t="n">
        <v>8</v>
      </c>
      <c r="B12" s="14" t="inlineStr">
        <is>
          <t>Amritsar</t>
        </is>
      </c>
      <c r="C12" s="15" t="n">
        <v>2516518</v>
      </c>
      <c r="D12" s="15" t="n">
        <v>755134</v>
      </c>
      <c r="E12" s="15" t="n">
        <v>1761384</v>
      </c>
      <c r="F12" s="15" t="n">
        <v>1382004</v>
      </c>
      <c r="G12" s="13">
        <f>IFERROR(ROUND((C12-F12)*100/F12,1)&amp;"%","—")</f>
        <v/>
      </c>
      <c r="H12" s="13" t="inlineStr">
        <is>
          <t>International</t>
        </is>
      </c>
    </row>
    <row r="13" ht="14" customHeight="1">
      <c r="A13" s="13" t="n">
        <v>9</v>
      </c>
      <c r="B13" s="14" t="inlineStr">
        <is>
          <t>Coimbatore</t>
        </is>
      </c>
      <c r="C13" s="15" t="n">
        <v>2557263</v>
      </c>
      <c r="D13" s="15" t="n">
        <v>194817</v>
      </c>
      <c r="E13" s="15" t="n">
        <v>2362446</v>
      </c>
      <c r="F13" s="15" t="n">
        <v>1285922</v>
      </c>
      <c r="G13" s="13">
        <f>IFERROR(ROUND((C13-F13)*100/F13,1)&amp;"%","—")</f>
        <v/>
      </c>
      <c r="H13" s="13" t="inlineStr">
        <is>
          <t>International</t>
        </is>
      </c>
    </row>
    <row r="14" ht="14" customHeight="1">
      <c r="A14" s="13" t="n">
        <v>10</v>
      </c>
      <c r="B14" s="14" t="inlineStr">
        <is>
          <t>Imphal</t>
        </is>
      </c>
      <c r="C14" s="15" t="n">
        <v>1233997</v>
      </c>
      <c r="D14" s="15" t="n">
        <v>0</v>
      </c>
      <c r="E14" s="15" t="n">
        <v>1233997</v>
      </c>
      <c r="F14" s="15" t="n">
        <v>814913</v>
      </c>
      <c r="G14" s="13">
        <f>IFERROR(ROUND((C14-F14)*100/F14,1)&amp;"%","—")</f>
        <v/>
      </c>
      <c r="H14" s="13" t="inlineStr">
        <is>
          <t>International</t>
        </is>
      </c>
    </row>
    <row r="15" ht="14" customHeight="1">
      <c r="A15" s="13" t="n">
        <v>11</v>
      </c>
      <c r="B15" s="14" t="inlineStr">
        <is>
          <t>Port Blair</t>
        </is>
      </c>
      <c r="C15" s="15" t="n">
        <v>1273138</v>
      </c>
      <c r="D15" s="15" t="n">
        <v>0</v>
      </c>
      <c r="E15" s="15" t="n">
        <v>1273138</v>
      </c>
      <c r="F15" s="15" t="n">
        <v>761610</v>
      </c>
      <c r="G15" s="13">
        <f>IFERROR(ROUND((C15-F15)*100/F15,1)&amp;"%","—")</f>
        <v/>
      </c>
      <c r="H15" s="13" t="inlineStr">
        <is>
          <t>International</t>
        </is>
      </c>
    </row>
    <row r="16" ht="14" customHeight="1">
      <c r="A16" s="13" t="n">
        <v>12</v>
      </c>
      <c r="B16" s="14" t="inlineStr">
        <is>
          <t>Vijayawada</t>
        </is>
      </c>
      <c r="C16" s="15" t="n">
        <v>966383</v>
      </c>
      <c r="D16" s="15" t="n">
        <v>36618</v>
      </c>
      <c r="E16" s="15" t="n">
        <v>929765</v>
      </c>
      <c r="F16" s="15" t="n">
        <v>625131</v>
      </c>
      <c r="G16" s="13">
        <f>IFERROR(ROUND((C16-F16)*100/F16,1)&amp;"%","—")</f>
        <v/>
      </c>
      <c r="H16" s="13" t="inlineStr">
        <is>
          <t>International</t>
        </is>
      </c>
    </row>
    <row r="17" ht="14" customHeight="1">
      <c r="A17" s="13" t="n">
        <v>13</v>
      </c>
      <c r="B17" s="14" t="inlineStr">
        <is>
          <t>Tirupati</t>
        </is>
      </c>
      <c r="C17" s="15" t="n">
        <v>919267</v>
      </c>
      <c r="D17" s="15" t="n">
        <v>0</v>
      </c>
      <c r="E17" s="15" t="n">
        <v>919267</v>
      </c>
      <c r="F17" s="15" t="n">
        <v>623341</v>
      </c>
      <c r="G17" s="13">
        <f>IFERROR(ROUND((C17-F17)*100/F17,1)&amp;"%","—")</f>
        <v/>
      </c>
      <c r="H17" s="13" t="inlineStr">
        <is>
          <t>International</t>
        </is>
      </c>
    </row>
    <row r="18" ht="14" customHeight="1">
      <c r="A18" s="13" t="n">
        <v>14</v>
      </c>
      <c r="B18" s="14" t="inlineStr">
        <is>
          <t>Trichy</t>
        </is>
      </c>
      <c r="C18" s="15" t="n">
        <v>1514260</v>
      </c>
      <c r="D18" s="15" t="n">
        <v>1134033</v>
      </c>
      <c r="E18" s="15" t="n">
        <v>380227</v>
      </c>
      <c r="F18" s="15" t="n">
        <v>556707</v>
      </c>
      <c r="G18" s="13">
        <f>IFERROR(ROUND((C18-F18)*100/F18,1)&amp;"%","—")</f>
        <v/>
      </c>
      <c r="H18" s="13" t="inlineStr">
        <is>
          <t>International</t>
        </is>
      </c>
    </row>
    <row r="19" ht="14" customHeight="1">
      <c r="A19" s="13" t="n">
        <v>15</v>
      </c>
      <c r="B19" s="14" t="inlineStr">
        <is>
          <t>Kushinagar</t>
        </is>
      </c>
      <c r="C19" s="15" t="n">
        <v>23221</v>
      </c>
      <c r="D19" s="15" t="n">
        <v>0</v>
      </c>
      <c r="E19" s="15" t="n">
        <v>23221</v>
      </c>
      <c r="F19" s="15" t="n">
        <v>11155</v>
      </c>
      <c r="G19" s="13">
        <f>IFERROR(ROUND((C19-F19)*100/F19,1)&amp;"%","—")</f>
        <v/>
      </c>
      <c r="H19" s="13" t="inlineStr">
        <is>
          <t>International</t>
        </is>
      </c>
    </row>
    <row r="20" ht="15" customHeight="1">
      <c r="A20" s="16" t="inlineStr"/>
      <c r="B20" s="17" t="inlineStr">
        <is>
          <t>TOTAL INTL</t>
        </is>
      </c>
      <c r="C20" s="18" t="n">
        <v>69242586</v>
      </c>
      <c r="D20" s="18" t="n">
        <v>11942622</v>
      </c>
      <c r="E20" s="18" t="n">
        <v>57299964</v>
      </c>
      <c r="F20" s="18" t="n">
        <v>40535901</v>
      </c>
      <c r="G20" s="16">
        <f>IFERROR(ROUND((C20-F20)*100/F20,1)&amp;"%","—")</f>
        <v/>
      </c>
      <c r="H20" s="16" t="inlineStr"/>
    </row>
    <row r="21" ht="16" customHeight="1">
      <c r="A21" s="30" t="inlineStr">
        <is>
          <t>PPP INTERNATIONAL</t>
        </is>
      </c>
      <c r="B21" s="34" t="n"/>
      <c r="C21" s="34" t="n"/>
      <c r="D21" s="34" t="n"/>
      <c r="E21" s="34" t="n"/>
      <c r="F21" s="34" t="n"/>
      <c r="G21" s="34" t="n"/>
      <c r="H21" s="35" t="n"/>
    </row>
    <row r="22" ht="14" customHeight="1">
      <c r="A22" s="13" t="n">
        <v>1</v>
      </c>
      <c r="B22" s="14" t="inlineStr">
        <is>
          <t>Ahmedabad</t>
        </is>
      </c>
      <c r="C22" s="15" t="n">
        <v>10137001</v>
      </c>
      <c r="D22" s="15" t="n">
        <v>1539374</v>
      </c>
      <c r="E22" s="15" t="n">
        <v>8597627</v>
      </c>
      <c r="F22" s="15" t="n">
        <v>5670896</v>
      </c>
      <c r="G22" s="13">
        <f>IFERROR(ROUND((C22-F22)*100/F22,1)&amp;"%","—")</f>
        <v/>
      </c>
      <c r="H22" s="13" t="inlineStr">
        <is>
          <t>PPP International</t>
        </is>
      </c>
    </row>
    <row r="23" ht="14" customHeight="1">
      <c r="A23" s="13" t="n">
        <v>2</v>
      </c>
      <c r="B23" s="14" t="inlineStr">
        <is>
          <t>Lucknow</t>
        </is>
      </c>
      <c r="C23" s="15" t="n">
        <v>5220528</v>
      </c>
      <c r="D23" s="15" t="n">
        <v>872531</v>
      </c>
      <c r="E23" s="15" t="n">
        <v>4347997</v>
      </c>
      <c r="F23" s="15" t="n">
        <v>3303960</v>
      </c>
      <c r="G23" s="13">
        <f>IFERROR(ROUND((C23-F23)*100/F23,1)&amp;"%","—")</f>
        <v/>
      </c>
      <c r="H23" s="13" t="inlineStr">
        <is>
          <t>PPP International</t>
        </is>
      </c>
    </row>
    <row r="24" ht="14" customHeight="1">
      <c r="A24" s="13" t="n">
        <v>3</v>
      </c>
      <c r="B24" s="14" t="inlineStr">
        <is>
          <t>Guwahati</t>
        </is>
      </c>
      <c r="C24" s="15" t="n">
        <v>5051480</v>
      </c>
      <c r="D24" s="15" t="n">
        <v>12165</v>
      </c>
      <c r="E24" s="15" t="n">
        <v>5039315</v>
      </c>
      <c r="F24" s="15" t="n">
        <v>3148956</v>
      </c>
      <c r="G24" s="13">
        <f>IFERROR(ROUND((C24-F24)*100/F24,1)&amp;"%","—")</f>
        <v/>
      </c>
      <c r="H24" s="13" t="inlineStr">
        <is>
          <t>PPP International</t>
        </is>
      </c>
    </row>
    <row r="25" ht="14" customHeight="1">
      <c r="A25" s="13" t="n">
        <v>4</v>
      </c>
      <c r="B25" s="14" t="inlineStr">
        <is>
          <t>Jaipur</t>
        </is>
      </c>
      <c r="C25" s="15" t="n">
        <v>4764382</v>
      </c>
      <c r="D25" s="15" t="n">
        <v>405388</v>
      </c>
      <c r="E25" s="15" t="n">
        <v>4358994</v>
      </c>
      <c r="F25" s="15" t="n">
        <v>2943171</v>
      </c>
      <c r="G25" s="13">
        <f>IFERROR(ROUND((C25-F25)*100/F25,1)&amp;"%","—")</f>
        <v/>
      </c>
      <c r="H25" s="13" t="inlineStr">
        <is>
          <t>PPP International</t>
        </is>
      </c>
    </row>
    <row r="26" ht="14" customHeight="1">
      <c r="A26" s="13" t="n">
        <v>5</v>
      </c>
      <c r="B26" s="14" t="inlineStr">
        <is>
          <t>Trivandrum</t>
        </is>
      </c>
      <c r="C26" s="15" t="n">
        <v>3478067</v>
      </c>
      <c r="D26" s="15" t="n">
        <v>1798682</v>
      </c>
      <c r="E26" s="15" t="n">
        <v>1679385</v>
      </c>
      <c r="F26" s="15" t="n">
        <v>1655506</v>
      </c>
      <c r="G26" s="13">
        <f>IFERROR(ROUND((C26-F26)*100/F26,1)&amp;"%","—")</f>
        <v/>
      </c>
      <c r="H26" s="13" t="inlineStr">
        <is>
          <t>PPP International</t>
        </is>
      </c>
    </row>
    <row r="27" ht="14" customHeight="1">
      <c r="A27" s="13" t="n">
        <v>6</v>
      </c>
      <c r="B27" s="14" t="inlineStr">
        <is>
          <t>Mangaluru</t>
        </is>
      </c>
      <c r="C27" s="15" t="n">
        <v>1809266</v>
      </c>
      <c r="D27" s="15" t="n">
        <v>531792</v>
      </c>
      <c r="E27" s="15" t="n">
        <v>1277474</v>
      </c>
      <c r="F27" s="15" t="n">
        <v>1013453</v>
      </c>
      <c r="G27" s="13">
        <f>IFERROR(ROUND((C27-F27)*100/F27,1)&amp;"%","—")</f>
        <v/>
      </c>
      <c r="H27" s="13" t="inlineStr">
        <is>
          <t>PPP International</t>
        </is>
      </c>
    </row>
    <row r="28" ht="15" customHeight="1">
      <c r="A28" s="31" t="inlineStr"/>
      <c r="B28" s="32" t="inlineStr">
        <is>
          <t>TOTAL PPP</t>
        </is>
      </c>
      <c r="C28" s="33" t="n">
        <v>30460724</v>
      </c>
      <c r="D28" s="33" t="n">
        <v>5159932</v>
      </c>
      <c r="E28" s="33" t="n">
        <v>25300792</v>
      </c>
      <c r="F28" s="33" t="n">
        <v>17735942</v>
      </c>
      <c r="G28" s="31">
        <f>IFERROR(ROUND((C28-F28)*100/F28,1)&amp;"%","—")</f>
        <v/>
      </c>
      <c r="H28" s="31" t="inlineStr"/>
    </row>
    <row r="29" ht="16" customHeight="1">
      <c r="A29" s="19" t="inlineStr">
        <is>
          <t>JV INTERNATIONAL AIRPORTS</t>
        </is>
      </c>
      <c r="B29" s="34" t="n"/>
      <c r="C29" s="34" t="n"/>
      <c r="D29" s="34" t="n"/>
      <c r="E29" s="34" t="n"/>
      <c r="F29" s="34" t="n"/>
      <c r="G29" s="34" t="n"/>
      <c r="H29" s="35" t="n"/>
    </row>
    <row r="30" ht="14" customHeight="1">
      <c r="A30" s="13" t="n">
        <v>1</v>
      </c>
      <c r="B30" s="14" t="inlineStr">
        <is>
          <t>Delhi (DIAL)</t>
        </is>
      </c>
      <c r="C30" s="15" t="n">
        <v>65327833</v>
      </c>
      <c r="D30" s="15" t="n">
        <v>15652343</v>
      </c>
      <c r="E30" s="15" t="n">
        <v>49675490</v>
      </c>
      <c r="F30" s="15" t="n">
        <v>39339998</v>
      </c>
      <c r="G30" s="13">
        <f>IFERROR(ROUND((C30-F30)*100/F30,1)&amp;"%","—")</f>
        <v/>
      </c>
      <c r="H30" s="13" t="inlineStr">
        <is>
          <t>JV International</t>
        </is>
      </c>
    </row>
    <row r="31" ht="14" customHeight="1">
      <c r="A31" s="13" t="n">
        <v>2</v>
      </c>
      <c r="B31" s="14" t="inlineStr">
        <is>
          <t>Mumbai (MIAL)</t>
        </is>
      </c>
      <c r="C31" s="15" t="n">
        <v>43930298</v>
      </c>
      <c r="D31" s="15" t="n">
        <v>11207221</v>
      </c>
      <c r="E31" s="15" t="n">
        <v>32723077</v>
      </c>
      <c r="F31" s="15" t="n">
        <v>21747892</v>
      </c>
      <c r="G31" s="13">
        <f>IFERROR(ROUND((C31-F31)*100/F31,1)&amp;"%","—")</f>
        <v/>
      </c>
      <c r="H31" s="13" t="inlineStr">
        <is>
          <t>JV International</t>
        </is>
      </c>
    </row>
    <row r="32" ht="14" customHeight="1">
      <c r="A32" s="13" t="n">
        <v>3</v>
      </c>
      <c r="B32" s="14" t="inlineStr">
        <is>
          <t>Bengaluru (BIAL)</t>
        </is>
      </c>
      <c r="C32" s="15" t="n">
        <v>31911429</v>
      </c>
      <c r="D32" s="15" t="n">
        <v>3785264</v>
      </c>
      <c r="E32" s="15" t="n">
        <v>28126165</v>
      </c>
      <c r="F32" s="15" t="n">
        <v>16287097</v>
      </c>
      <c r="G32" s="13">
        <f>IFERROR(ROUND((C32-F32)*100/F32,1)&amp;"%","—")</f>
        <v/>
      </c>
      <c r="H32" s="13" t="inlineStr">
        <is>
          <t>JV International</t>
        </is>
      </c>
    </row>
    <row r="33" ht="14" customHeight="1">
      <c r="A33" s="13" t="n">
        <v>4</v>
      </c>
      <c r="B33" s="14" t="inlineStr">
        <is>
          <t>Hyderabad (GHIAL)</t>
        </is>
      </c>
      <c r="C33" s="15" t="n">
        <v>20996027</v>
      </c>
      <c r="D33" s="15" t="n">
        <v>3420785</v>
      </c>
      <c r="E33" s="15" t="n">
        <v>17575242</v>
      </c>
      <c r="F33" s="15" t="n">
        <v>12429796</v>
      </c>
      <c r="G33" s="13">
        <f>IFERROR(ROUND((C33-F33)*100/F33,1)&amp;"%","—")</f>
        <v/>
      </c>
      <c r="H33" s="13" t="inlineStr">
        <is>
          <t>JV International</t>
        </is>
      </c>
    </row>
    <row r="34" ht="14" customHeight="1">
      <c r="A34" s="13" t="n">
        <v>5</v>
      </c>
      <c r="B34" s="14" t="inlineStr">
        <is>
          <t>Kochi (CIAL)</t>
        </is>
      </c>
      <c r="C34" s="15" t="n">
        <v>8812531</v>
      </c>
      <c r="D34" s="15" t="n">
        <v>4174768</v>
      </c>
      <c r="E34" s="15" t="n">
        <v>4637763</v>
      </c>
      <c r="F34" s="15" t="n">
        <v>4717777</v>
      </c>
      <c r="G34" s="13">
        <f>IFERROR(ROUND((C34-F34)*100/F34,1)&amp;"%","—")</f>
        <v/>
      </c>
      <c r="H34" s="13" t="inlineStr">
        <is>
          <t>JV International</t>
        </is>
      </c>
    </row>
    <row r="35" ht="14" customHeight="1">
      <c r="A35" s="13" t="n">
        <v>6</v>
      </c>
      <c r="B35" s="14" t="inlineStr">
        <is>
          <t>Nagpur</t>
        </is>
      </c>
      <c r="C35" s="15" t="n">
        <v>2565155</v>
      </c>
      <c r="D35" s="15" t="n">
        <v>65512</v>
      </c>
      <c r="E35" s="15" t="n">
        <v>2499643</v>
      </c>
      <c r="F35" s="15" t="n">
        <v>1605433</v>
      </c>
      <c r="G35" s="13">
        <f>IFERROR(ROUND((C35-F35)*100/F35,1)&amp;"%","—")</f>
        <v/>
      </c>
      <c r="H35" s="13" t="inlineStr">
        <is>
          <t>JV International</t>
        </is>
      </c>
    </row>
    <row r="36" ht="14" customHeight="1">
      <c r="A36" s="13" t="n">
        <v>7</v>
      </c>
      <c r="B36" s="14" t="inlineStr">
        <is>
          <t>Kannur (KIAL)</t>
        </is>
      </c>
      <c r="C36" s="15" t="n">
        <v>1257086</v>
      </c>
      <c r="D36" s="15" t="n">
        <v>853091</v>
      </c>
      <c r="E36" s="15" t="n">
        <v>403995</v>
      </c>
      <c r="F36" s="15" t="n">
        <v>799122</v>
      </c>
      <c r="G36" s="13">
        <f>IFERROR(ROUND((C36-F36)*100/F36,1)&amp;"%","—")</f>
        <v/>
      </c>
      <c r="H36" s="13" t="inlineStr">
        <is>
          <t>JV International</t>
        </is>
      </c>
    </row>
    <row r="37" ht="15" customHeight="1">
      <c r="A37" s="20" t="inlineStr"/>
      <c r="B37" s="21" t="inlineStr">
        <is>
          <t>TOTAL JV</t>
        </is>
      </c>
      <c r="C37" s="22" t="n">
        <v>174800359</v>
      </c>
      <c r="D37" s="22" t="n">
        <v>39158984</v>
      </c>
      <c r="E37" s="22" t="n">
        <v>135641375</v>
      </c>
      <c r="F37" s="22" t="n">
        <v>96927115</v>
      </c>
      <c r="G37" s="20">
        <f>IFERROR(ROUND((C37-F37)*100/F37,1)&amp;"%","—")</f>
        <v/>
      </c>
      <c r="H37" s="20" t="inlineStr"/>
    </row>
    <row r="38" ht="16" customHeight="1">
      <c r="A38" s="36" t="inlineStr">
        <is>
          <t>ST GOVT/PVT INTERNATIONAL</t>
        </is>
      </c>
      <c r="B38" s="34" t="n"/>
      <c r="C38" s="34" t="n"/>
      <c r="D38" s="34" t="n"/>
      <c r="E38" s="34" t="n"/>
      <c r="F38" s="34" t="n"/>
      <c r="G38" s="34" t="n"/>
      <c r="H38" s="35" t="n"/>
    </row>
    <row r="39" ht="14" customHeight="1">
      <c r="A39" s="13" t="n">
        <v>1</v>
      </c>
      <c r="B39" s="14" t="inlineStr">
        <is>
          <t>Shirdi</t>
        </is>
      </c>
      <c r="C39" s="15" t="n">
        <v>733038</v>
      </c>
      <c r="D39" s="15" t="n">
        <v>0</v>
      </c>
      <c r="E39" s="15" t="n">
        <v>733038</v>
      </c>
      <c r="F39" s="15" t="n">
        <v>176787</v>
      </c>
      <c r="G39" s="13">
        <f>IFERROR(ROUND((C39-F39)*100/F39,1)&amp;"%","—")</f>
        <v/>
      </c>
      <c r="H39" s="13" t="inlineStr">
        <is>
          <t>St Govt/Pvt Intl</t>
        </is>
      </c>
    </row>
    <row r="40" ht="14" customHeight="1">
      <c r="A40" s="13" t="n">
        <v>2</v>
      </c>
      <c r="B40" s="14" t="inlineStr">
        <is>
          <t>Goa (MOPA)</t>
        </is>
      </c>
      <c r="C40" s="15" t="n">
        <v>664160</v>
      </c>
      <c r="D40" s="15" t="n">
        <v>0</v>
      </c>
      <c r="E40" s="15" t="n">
        <v>664160</v>
      </c>
      <c r="F40" s="15" t="n">
        <v>0</v>
      </c>
      <c r="G40" s="13">
        <f>IFERROR(ROUND((C40-F40)*100/F40,1)&amp;"%","—")</f>
        <v/>
      </c>
      <c r="H40" s="13" t="inlineStr">
        <is>
          <t>St Govt/Pvt Intl</t>
        </is>
      </c>
    </row>
    <row r="41" ht="15" customHeight="1">
      <c r="A41" s="37" t="inlineStr"/>
      <c r="B41" s="38" t="inlineStr">
        <is>
          <t>TOTAL ST GOVT/PVT</t>
        </is>
      </c>
      <c r="C41" s="39" t="n">
        <v>1397198</v>
      </c>
      <c r="D41" s="39" t="n">
        <v>0</v>
      </c>
      <c r="E41" s="39" t="n">
        <v>1397198</v>
      </c>
      <c r="F41" s="39" t="n">
        <v>176787</v>
      </c>
      <c r="G41" s="37">
        <f>IFERROR(ROUND((C41-F41)*100/F41,1)&amp;"%","—")</f>
        <v/>
      </c>
      <c r="H41" s="37" t="inlineStr"/>
    </row>
    <row r="42" ht="16" customHeight="1">
      <c r="A42" s="23" t="inlineStr">
        <is>
          <t>CUSTOM AIRPORTS</t>
        </is>
      </c>
      <c r="B42" s="34" t="n"/>
      <c r="C42" s="34" t="n"/>
      <c r="D42" s="34" t="n"/>
      <c r="E42" s="34" t="n"/>
      <c r="F42" s="34" t="n"/>
      <c r="G42" s="34" t="n"/>
      <c r="H42" s="35" t="n"/>
    </row>
    <row r="43" ht="14" customHeight="1">
      <c r="A43" s="13" t="n">
        <v>1</v>
      </c>
      <c r="B43" s="14" t="inlineStr">
        <is>
          <t>Pune</t>
        </is>
      </c>
      <c r="C43" s="15" t="n">
        <v>8007160</v>
      </c>
      <c r="D43" s="15" t="n">
        <v>141516</v>
      </c>
      <c r="E43" s="15" t="n">
        <v>7865644</v>
      </c>
      <c r="F43" s="15" t="n">
        <v>3713491</v>
      </c>
      <c r="G43" s="13">
        <f>IFERROR(ROUND((C43-F43)*100/F43,1)&amp;"%","—")</f>
        <v/>
      </c>
      <c r="H43" s="13" t="inlineStr">
        <is>
          <t>Custom</t>
        </is>
      </c>
    </row>
    <row r="44" ht="14" customHeight="1">
      <c r="A44" s="13" t="n">
        <v>2</v>
      </c>
      <c r="B44" s="14" t="inlineStr">
        <is>
          <t>Patna</t>
        </is>
      </c>
      <c r="C44" s="15" t="n">
        <v>3748635</v>
      </c>
      <c r="D44" s="15" t="n">
        <v>0</v>
      </c>
      <c r="E44" s="15" t="n">
        <v>3748635</v>
      </c>
      <c r="F44" s="15" t="n">
        <v>2967681</v>
      </c>
      <c r="G44" s="13">
        <f>IFERROR(ROUND((C44-F44)*100/F44,1)&amp;"%","—")</f>
        <v/>
      </c>
      <c r="H44" s="13" t="inlineStr">
        <is>
          <t>Custom</t>
        </is>
      </c>
    </row>
    <row r="45" ht="14" customHeight="1">
      <c r="A45" s="13" t="n">
        <v>3</v>
      </c>
      <c r="B45" s="14" t="inlineStr">
        <is>
          <t>Chandigarh</t>
        </is>
      </c>
      <c r="C45" s="15" t="n">
        <v>3677786</v>
      </c>
      <c r="D45" s="15" t="n">
        <v>145323</v>
      </c>
      <c r="E45" s="15" t="n">
        <v>3532463</v>
      </c>
      <c r="F45" s="15" t="n">
        <v>2289169</v>
      </c>
      <c r="G45" s="13">
        <f>IFERROR(ROUND((C45-F45)*100/F45,1)&amp;"%","—")</f>
        <v/>
      </c>
      <c r="H45" s="13" t="inlineStr">
        <is>
          <t>Custom</t>
        </is>
      </c>
    </row>
    <row r="46" ht="14" customHeight="1">
      <c r="A46" s="13" t="n">
        <v>4</v>
      </c>
      <c r="B46" s="14" t="inlineStr">
        <is>
          <t>Bagdogra</t>
        </is>
      </c>
      <c r="C46" s="15" t="n">
        <v>2543339</v>
      </c>
      <c r="D46" s="15" t="n">
        <v>11966</v>
      </c>
      <c r="E46" s="15" t="n">
        <v>2531373</v>
      </c>
      <c r="F46" s="15" t="n">
        <v>1980049</v>
      </c>
      <c r="G46" s="13">
        <f>IFERROR(ROUND((C46-F46)*100/F46,1)&amp;"%","—")</f>
        <v/>
      </c>
      <c r="H46" s="13" t="inlineStr">
        <is>
          <t>Custom</t>
        </is>
      </c>
    </row>
    <row r="47" ht="14" customHeight="1">
      <c r="A47" s="13" t="n">
        <v>5</v>
      </c>
      <c r="B47" s="14" t="inlineStr">
        <is>
          <t>Indore</t>
        </is>
      </c>
      <c r="C47" s="15" t="n">
        <v>2813144</v>
      </c>
      <c r="D47" s="15" t="n">
        <v>15443</v>
      </c>
      <c r="E47" s="15" t="n">
        <v>2797701</v>
      </c>
      <c r="F47" s="15" t="n">
        <v>1629668</v>
      </c>
      <c r="G47" s="13">
        <f>IFERROR(ROUND((C47-F47)*100/F47,1)&amp;"%","—")</f>
        <v/>
      </c>
      <c r="H47" s="13" t="inlineStr">
        <is>
          <t>Custom</t>
        </is>
      </c>
    </row>
    <row r="48" ht="14" customHeight="1">
      <c r="A48" s="13" t="n">
        <v>6</v>
      </c>
      <c r="B48" s="14" t="inlineStr">
        <is>
          <t>Visakhapatnam</t>
        </is>
      </c>
      <c r="C48" s="15" t="n">
        <v>2435320</v>
      </c>
      <c r="D48" s="15" t="n">
        <v>65334</v>
      </c>
      <c r="E48" s="15" t="n">
        <v>2369986</v>
      </c>
      <c r="F48" s="15" t="n">
        <v>1610483</v>
      </c>
      <c r="G48" s="13">
        <f>IFERROR(ROUND((C48-F48)*100/F48,1)&amp;"%","—")</f>
        <v/>
      </c>
      <c r="H48" s="13" t="inlineStr">
        <is>
          <t>Custom</t>
        </is>
      </c>
    </row>
    <row r="49" ht="14" customHeight="1">
      <c r="A49" s="13" t="n">
        <v>7</v>
      </c>
      <c r="B49" s="14" t="inlineStr">
        <is>
          <t>Surat</t>
        </is>
      </c>
      <c r="C49" s="15" t="n">
        <v>1239913</v>
      </c>
      <c r="D49" s="15" t="n">
        <v>35218</v>
      </c>
      <c r="E49" s="15" t="n">
        <v>1204695</v>
      </c>
      <c r="F49" s="15" t="n">
        <v>933817</v>
      </c>
      <c r="G49" s="13">
        <f>IFERROR(ROUND((C49-F49)*100/F49,1)&amp;"%","—")</f>
        <v/>
      </c>
      <c r="H49" s="13" t="inlineStr">
        <is>
          <t>Custom</t>
        </is>
      </c>
    </row>
    <row r="50" ht="14" customHeight="1">
      <c r="A50" s="13" t="n">
        <v>8</v>
      </c>
      <c r="B50" s="14" t="inlineStr">
        <is>
          <t>Madurai</t>
        </is>
      </c>
      <c r="C50" s="15" t="n">
        <v>1138005</v>
      </c>
      <c r="D50" s="15" t="n">
        <v>191502</v>
      </c>
      <c r="E50" s="15" t="n">
        <v>946503</v>
      </c>
      <c r="F50" s="15" t="n">
        <v>679781</v>
      </c>
      <c r="G50" s="13">
        <f>IFERROR(ROUND((C50-F50)*100/F50,1)&amp;"%","—")</f>
        <v/>
      </c>
      <c r="H50" s="13" t="inlineStr">
        <is>
          <t>Custom</t>
        </is>
      </c>
    </row>
    <row r="51" ht="14" customHeight="1">
      <c r="A51" s="13" t="n">
        <v>9</v>
      </c>
      <c r="B51" s="14" t="inlineStr">
        <is>
          <t>Aurangabad</t>
        </is>
      </c>
      <c r="C51" s="15" t="n">
        <v>468486</v>
      </c>
      <c r="D51" s="15" t="n">
        <v>0</v>
      </c>
      <c r="E51" s="15" t="n">
        <v>468486</v>
      </c>
      <c r="F51" s="15" t="n">
        <v>250989</v>
      </c>
      <c r="G51" s="13">
        <f>IFERROR(ROUND((C51-F51)*100/F51,1)&amp;"%","—")</f>
        <v/>
      </c>
      <c r="H51" s="13" t="inlineStr">
        <is>
          <t>Custom</t>
        </is>
      </c>
    </row>
    <row r="52" ht="14" customHeight="1">
      <c r="A52" s="13" t="n">
        <v>10</v>
      </c>
      <c r="B52" s="14" t="inlineStr">
        <is>
          <t>Gaya</t>
        </is>
      </c>
      <c r="C52" s="15" t="n">
        <v>229460</v>
      </c>
      <c r="D52" s="15" t="n">
        <v>71004</v>
      </c>
      <c r="E52" s="15" t="n">
        <v>158456</v>
      </c>
      <c r="F52" s="15" t="n">
        <v>47311</v>
      </c>
      <c r="G52" s="13">
        <f>IFERROR(ROUND((C52-F52)*100/F52,1)&amp;"%","—")</f>
        <v/>
      </c>
      <c r="H52" s="13" t="inlineStr">
        <is>
          <t>Custom</t>
        </is>
      </c>
    </row>
    <row r="53" ht="15" customHeight="1">
      <c r="A53" s="24" t="inlineStr"/>
      <c r="B53" s="25" t="inlineStr">
        <is>
          <t>TOTAL CUSTOM</t>
        </is>
      </c>
      <c r="C53" s="26" t="n">
        <v>26393991</v>
      </c>
      <c r="D53" s="26" t="n">
        <v>677306</v>
      </c>
      <c r="E53" s="26" t="n">
        <v>25716685</v>
      </c>
      <c r="F53" s="26" t="n">
        <v>16102439</v>
      </c>
      <c r="G53" s="24">
        <f>IFERROR(ROUND((C53-F53)*100/F53,1)&amp;"%","—")</f>
        <v/>
      </c>
      <c r="H53" s="24" t="inlineStr"/>
    </row>
    <row r="54" ht="15" customHeight="1">
      <c r="A54" s="27" t="inlineStr"/>
      <c r="B54" s="28" t="inlineStr">
        <is>
          <t>GRAND TOTAL</t>
        </is>
      </c>
      <c r="C54" s="29" t="n">
        <v>327279136</v>
      </c>
      <c r="D54" s="29" t="n">
        <v>56939661</v>
      </c>
      <c r="E54" s="29" t="n">
        <v>270339475</v>
      </c>
      <c r="F54" s="29" t="n">
        <v>188891441</v>
      </c>
      <c r="G54" s="27">
        <f>IFERROR(ROUND((C54-F54)*100/F54,1)&amp;"%","—")</f>
        <v/>
      </c>
      <c r="H54" s="27" t="inlineStr"/>
    </row>
  </sheetData>
  <mergeCells count="7">
    <mergeCell ref="A4:H4"/>
    <mergeCell ref="A21:H21"/>
    <mergeCell ref="A29:H29"/>
    <mergeCell ref="A38:H38"/>
    <mergeCell ref="A2:H2"/>
    <mergeCell ref="A42:H4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  <col width="26" customWidth="1" min="8" max="8"/>
  </cols>
  <sheetData>
    <row r="1" ht="26" customHeight="1">
      <c r="A1" s="9" t="inlineStr">
        <is>
          <t>ANNEXURE III-C: Total Passengers (Intl + Domestic) | 2023-2024</t>
        </is>
      </c>
    </row>
    <row r="2" ht="14" customHeight="1">
      <c r="A2" s="10" t="inlineStr">
        <is>
          <t>Source: DGCA Annexure-III | April to March 2023-2024</t>
        </is>
      </c>
    </row>
    <row r="3" ht="30" customHeight="1">
      <c r="A3" s="11" t="inlineStr">
        <is>
          <t>S.No</t>
        </is>
      </c>
      <c r="B3" s="11" t="inlineStr">
        <is>
          <t>Airport</t>
        </is>
      </c>
      <c r="C3" s="11" t="inlineStr">
        <is>
          <t>FY Current
(Total)</t>
        </is>
      </c>
      <c r="D3" s="11" t="inlineStr">
        <is>
          <t>FY Intl</t>
        </is>
      </c>
      <c r="E3" s="11" t="inlineStr">
        <is>
          <t>FY Domestic</t>
        </is>
      </c>
      <c r="F3" s="11" t="inlineStr">
        <is>
          <t>FY Prev
(Total)</t>
        </is>
      </c>
      <c r="G3" s="11" t="inlineStr">
        <is>
          <t>FY
Change%</t>
        </is>
      </c>
      <c r="H3" s="11" t="inlineStr">
        <is>
          <t>Airport Category</t>
        </is>
      </c>
    </row>
    <row r="4" ht="16" customHeight="1">
      <c r="A4" s="12" t="inlineStr">
        <is>
          <t>INTERNATIONAL AIRPORTS</t>
        </is>
      </c>
      <c r="B4" s="34" t="n"/>
      <c r="C4" s="34" t="n"/>
      <c r="D4" s="34" t="n"/>
      <c r="E4" s="34" t="n"/>
      <c r="F4" s="34" t="n"/>
      <c r="G4" s="34" t="n"/>
      <c r="H4" s="35" t="n"/>
    </row>
    <row r="5" ht="14" customHeight="1">
      <c r="A5" s="13" t="n">
        <v>1</v>
      </c>
      <c r="B5" s="14" t="inlineStr">
        <is>
          <t>Chennai</t>
        </is>
      </c>
      <c r="C5" s="15" t="n">
        <v>21207262</v>
      </c>
      <c r="D5" s="15" t="n">
        <v>5879078</v>
      </c>
      <c r="E5" s="15" t="n">
        <v>15328184</v>
      </c>
      <c r="F5" s="15" t="n">
        <v>18571393</v>
      </c>
      <c r="G5" s="13">
        <f>IFERROR(ROUND((C5-F5)*100/F5,1)&amp;"%","—")</f>
        <v/>
      </c>
      <c r="H5" s="13" t="inlineStr">
        <is>
          <t>International</t>
        </is>
      </c>
    </row>
    <row r="6" ht="14" customHeight="1">
      <c r="A6" s="13" t="n">
        <v>2</v>
      </c>
      <c r="B6" s="14" t="inlineStr">
        <is>
          <t>Kolkata</t>
        </is>
      </c>
      <c r="C6" s="15" t="n">
        <v>19784417</v>
      </c>
      <c r="D6" s="15" t="n">
        <v>2468601</v>
      </c>
      <c r="E6" s="15" t="n">
        <v>17315816</v>
      </c>
      <c r="F6" s="15" t="n">
        <v>17768862</v>
      </c>
      <c r="G6" s="13">
        <f>IFERROR(ROUND((C6-F6)*100/F6,1)&amp;"%","—")</f>
        <v/>
      </c>
      <c r="H6" s="13" t="inlineStr">
        <is>
          <t>International</t>
        </is>
      </c>
    </row>
    <row r="7" ht="14" customHeight="1">
      <c r="A7" s="13" t="n">
        <v>3</v>
      </c>
      <c r="B7" s="14" t="inlineStr">
        <is>
          <t>Goa</t>
        </is>
      </c>
      <c r="C7" s="15" t="n">
        <v>6872411</v>
      </c>
      <c r="D7" s="15" t="n">
        <v>427089</v>
      </c>
      <c r="E7" s="15" t="n">
        <v>6445322</v>
      </c>
      <c r="F7" s="15" t="n">
        <v>8359393</v>
      </c>
      <c r="G7" s="13">
        <f>IFERROR(ROUND((C7-F7)*100/F7,1)&amp;"%","—")</f>
        <v/>
      </c>
      <c r="H7" s="13" t="inlineStr">
        <is>
          <t>International</t>
        </is>
      </c>
    </row>
    <row r="8" ht="14" customHeight="1">
      <c r="A8" s="13" t="n">
        <v>4</v>
      </c>
      <c r="B8" s="14" t="inlineStr">
        <is>
          <t>Srinagar</t>
        </is>
      </c>
      <c r="C8" s="15" t="n">
        <v>4205541</v>
      </c>
      <c r="D8" s="15" t="n">
        <v>23711</v>
      </c>
      <c r="E8" s="15" t="n">
        <v>4181830</v>
      </c>
      <c r="F8" s="15" t="n">
        <v>4409665</v>
      </c>
      <c r="G8" s="13">
        <f>IFERROR(ROUND((C8-F8)*100/F8,1)&amp;"%","—")</f>
        <v/>
      </c>
      <c r="H8" s="13" t="inlineStr">
        <is>
          <t>International</t>
        </is>
      </c>
    </row>
    <row r="9" ht="14" customHeight="1">
      <c r="A9" s="13" t="n">
        <v>5</v>
      </c>
      <c r="B9" s="14" t="inlineStr">
        <is>
          <t>Bhubaneswar</t>
        </is>
      </c>
      <c r="C9" s="15" t="n">
        <v>4600615</v>
      </c>
      <c r="D9" s="15" t="n">
        <v>89919</v>
      </c>
      <c r="E9" s="15" t="n">
        <v>4510696</v>
      </c>
      <c r="F9" s="15" t="n">
        <v>3624905</v>
      </c>
      <c r="G9" s="13">
        <f>IFERROR(ROUND((C9-F9)*100/F9,1)&amp;"%","—")</f>
        <v/>
      </c>
      <c r="H9" s="13" t="inlineStr">
        <is>
          <t>International</t>
        </is>
      </c>
    </row>
    <row r="10" ht="14" customHeight="1">
      <c r="A10" s="13" t="n">
        <v>6</v>
      </c>
      <c r="B10" s="14" t="inlineStr">
        <is>
          <t>Calicut</t>
        </is>
      </c>
      <c r="C10" s="15" t="n">
        <v>3320250</v>
      </c>
      <c r="D10" s="15" t="n">
        <v>2676932</v>
      </c>
      <c r="E10" s="15" t="n">
        <v>643318</v>
      </c>
      <c r="F10" s="15" t="n">
        <v>2982879</v>
      </c>
      <c r="G10" s="13">
        <f>IFERROR(ROUND((C10-F10)*100/F10,1)&amp;"%","—")</f>
        <v/>
      </c>
      <c r="H10" s="13" t="inlineStr">
        <is>
          <t>International</t>
        </is>
      </c>
    </row>
    <row r="11" ht="14" customHeight="1">
      <c r="A11" s="13" t="n">
        <v>7</v>
      </c>
      <c r="B11" s="14" t="inlineStr">
        <is>
          <t>Coimbatore</t>
        </is>
      </c>
      <c r="C11" s="15" t="n">
        <v>2904611</v>
      </c>
      <c r="D11" s="15" t="n">
        <v>211087</v>
      </c>
      <c r="E11" s="15" t="n">
        <v>2693524</v>
      </c>
      <c r="F11" s="15" t="n">
        <v>2557263</v>
      </c>
      <c r="G11" s="13">
        <f>IFERROR(ROUND((C11-F11)*100/F11,1)&amp;"%","—")</f>
        <v/>
      </c>
      <c r="H11" s="13" t="inlineStr">
        <is>
          <t>International</t>
        </is>
      </c>
    </row>
    <row r="12" ht="14" customHeight="1">
      <c r="A12" s="13" t="n">
        <v>8</v>
      </c>
      <c r="B12" s="14" t="inlineStr">
        <is>
          <t>Varanasi</t>
        </is>
      </c>
      <c r="C12" s="15" t="n">
        <v>2996698</v>
      </c>
      <c r="D12" s="15" t="n">
        <v>116704</v>
      </c>
      <c r="E12" s="15" t="n">
        <v>2879994</v>
      </c>
      <c r="F12" s="15" t="n">
        <v>2521442</v>
      </c>
      <c r="G12" s="13">
        <f>IFERROR(ROUND((C12-F12)*100/F12,1)&amp;"%","—")</f>
        <v/>
      </c>
      <c r="H12" s="13" t="inlineStr">
        <is>
          <t>International</t>
        </is>
      </c>
    </row>
    <row r="13" ht="14" customHeight="1">
      <c r="A13" s="13" t="n">
        <v>9</v>
      </c>
      <c r="B13" s="14" t="inlineStr">
        <is>
          <t>Amritsar</t>
        </is>
      </c>
      <c r="C13" s="15" t="n">
        <v>3085598</v>
      </c>
      <c r="D13" s="15" t="n">
        <v>981405</v>
      </c>
      <c r="E13" s="15" t="n">
        <v>2104193</v>
      </c>
      <c r="F13" s="15" t="n">
        <v>2516518</v>
      </c>
      <c r="G13" s="13">
        <f>IFERROR(ROUND((C13-F13)*100/F13,1)&amp;"%","—")</f>
        <v/>
      </c>
      <c r="H13" s="13" t="inlineStr">
        <is>
          <t>International</t>
        </is>
      </c>
    </row>
    <row r="14" ht="14" customHeight="1">
      <c r="A14" s="13" t="n">
        <v>10</v>
      </c>
      <c r="B14" s="14" t="inlineStr">
        <is>
          <t>Trichy</t>
        </is>
      </c>
      <c r="C14" s="15" t="n">
        <v>1763942</v>
      </c>
      <c r="D14" s="15" t="n">
        <v>1305186</v>
      </c>
      <c r="E14" s="15" t="n">
        <v>458756</v>
      </c>
      <c r="F14" s="15" t="n">
        <v>1514260</v>
      </c>
      <c r="G14" s="13">
        <f>IFERROR(ROUND((C14-F14)*100/F14,1)&amp;"%","—")</f>
        <v/>
      </c>
      <c r="H14" s="13" t="inlineStr">
        <is>
          <t>International</t>
        </is>
      </c>
    </row>
    <row r="15" ht="14" customHeight="1">
      <c r="A15" s="13" t="n">
        <v>11</v>
      </c>
      <c r="B15" s="14" t="inlineStr">
        <is>
          <t>Port Blair</t>
        </is>
      </c>
      <c r="C15" s="15" t="n">
        <v>1453811</v>
      </c>
      <c r="D15" s="15" t="n">
        <v>0</v>
      </c>
      <c r="E15" s="15" t="n">
        <v>1453811</v>
      </c>
      <c r="F15" s="15" t="n">
        <v>1273138</v>
      </c>
      <c r="G15" s="13">
        <f>IFERROR(ROUND((C15-F15)*100/F15,1)&amp;"%","—")</f>
        <v/>
      </c>
      <c r="H15" s="13" t="inlineStr">
        <is>
          <t>International</t>
        </is>
      </c>
    </row>
    <row r="16" ht="14" customHeight="1">
      <c r="A16" s="13" t="n">
        <v>12</v>
      </c>
      <c r="B16" s="14" t="inlineStr">
        <is>
          <t>Imphal</t>
        </is>
      </c>
      <c r="C16" s="15" t="n">
        <v>1274666</v>
      </c>
      <c r="D16" s="15" t="n">
        <v>0</v>
      </c>
      <c r="E16" s="15" t="n">
        <v>1274666</v>
      </c>
      <c r="F16" s="15" t="n">
        <v>1233997</v>
      </c>
      <c r="G16" s="13">
        <f>IFERROR(ROUND((C16-F16)*100/F16,1)&amp;"%","—")</f>
        <v/>
      </c>
      <c r="H16" s="13" t="inlineStr">
        <is>
          <t>International</t>
        </is>
      </c>
    </row>
    <row r="17" ht="14" customHeight="1">
      <c r="A17" s="13" t="n">
        <v>13</v>
      </c>
      <c r="B17" s="14" t="inlineStr">
        <is>
          <t>Vijayawada</t>
        </is>
      </c>
      <c r="C17" s="15" t="n">
        <v>1062506</v>
      </c>
      <c r="D17" s="15" t="n">
        <v>36772</v>
      </c>
      <c r="E17" s="15" t="n">
        <v>1025734</v>
      </c>
      <c r="F17" s="15" t="n">
        <v>966383</v>
      </c>
      <c r="G17" s="13">
        <f>IFERROR(ROUND((C17-F17)*100/F17,1)&amp;"%","—")</f>
        <v/>
      </c>
      <c r="H17" s="13" t="inlineStr">
        <is>
          <t>International</t>
        </is>
      </c>
    </row>
    <row r="18" ht="14" customHeight="1">
      <c r="A18" s="13" t="n">
        <v>14</v>
      </c>
      <c r="B18" s="14" t="inlineStr">
        <is>
          <t>Tirupati</t>
        </is>
      </c>
      <c r="C18" s="15" t="n">
        <v>870662</v>
      </c>
      <c r="D18" s="15" t="n">
        <v>0</v>
      </c>
      <c r="E18" s="15" t="n">
        <v>870662</v>
      </c>
      <c r="F18" s="15" t="n">
        <v>919267</v>
      </c>
      <c r="G18" s="13">
        <f>IFERROR(ROUND((C18-F18)*100/F18,1)&amp;"%","—")</f>
        <v/>
      </c>
      <c r="H18" s="13" t="inlineStr">
        <is>
          <t>International</t>
        </is>
      </c>
    </row>
    <row r="19" ht="14" customHeight="1">
      <c r="A19" s="13" t="n">
        <v>15</v>
      </c>
      <c r="B19" s="14" t="inlineStr">
        <is>
          <t>Kushinagar</t>
        </is>
      </c>
      <c r="C19" s="15" t="n">
        <v>17742</v>
      </c>
      <c r="D19" s="15" t="n">
        <v>0</v>
      </c>
      <c r="E19" s="15" t="n">
        <v>17742</v>
      </c>
      <c r="F19" s="15" t="n">
        <v>23221</v>
      </c>
      <c r="G19" s="13">
        <f>IFERROR(ROUND((C19-F19)*100/F19,1)&amp;"%","—")</f>
        <v/>
      </c>
      <c r="H19" s="13" t="inlineStr">
        <is>
          <t>International</t>
        </is>
      </c>
    </row>
    <row r="20" ht="15" customHeight="1">
      <c r="A20" s="16" t="inlineStr"/>
      <c r="B20" s="17" t="inlineStr">
        <is>
          <t>TOTAL INTL</t>
        </is>
      </c>
      <c r="C20" s="18" t="n">
        <v>75420732</v>
      </c>
      <c r="D20" s="18" t="n">
        <v>14216484</v>
      </c>
      <c r="E20" s="18" t="n">
        <v>61204248</v>
      </c>
      <c r="F20" s="18" t="n">
        <v>69242586</v>
      </c>
      <c r="G20" s="16">
        <f>IFERROR(ROUND((C20-F20)*100/F20,1)&amp;"%","—")</f>
        <v/>
      </c>
      <c r="H20" s="16" t="inlineStr"/>
    </row>
    <row r="21" ht="16" customHeight="1">
      <c r="A21" s="30" t="inlineStr">
        <is>
          <t>PPP INTERNATIONAL</t>
        </is>
      </c>
      <c r="B21" s="34" t="n"/>
      <c r="C21" s="34" t="n"/>
      <c r="D21" s="34" t="n"/>
      <c r="E21" s="34" t="n"/>
      <c r="F21" s="34" t="n"/>
      <c r="G21" s="34" t="n"/>
      <c r="H21" s="35" t="n"/>
    </row>
    <row r="22" ht="14" customHeight="1">
      <c r="A22" s="13" t="n">
        <v>1</v>
      </c>
      <c r="B22" s="14" t="inlineStr">
        <is>
          <t>Ahmedabad</t>
        </is>
      </c>
      <c r="C22" s="15" t="n">
        <v>11696227</v>
      </c>
      <c r="D22" s="15" t="n">
        <v>1977965</v>
      </c>
      <c r="E22" s="15" t="n">
        <v>9718262</v>
      </c>
      <c r="F22" s="15" t="n">
        <v>10137001</v>
      </c>
      <c r="G22" s="13">
        <f>IFERROR(ROUND((C22-F22)*100/F22,1)&amp;"%","—")</f>
        <v/>
      </c>
      <c r="H22" s="13" t="inlineStr">
        <is>
          <t>PPP International</t>
        </is>
      </c>
    </row>
    <row r="23" ht="14" customHeight="1">
      <c r="A23" s="13" t="n">
        <v>2</v>
      </c>
      <c r="B23" s="14" t="inlineStr">
        <is>
          <t>Lucknow</t>
        </is>
      </c>
      <c r="C23" s="15" t="n">
        <v>6184850</v>
      </c>
      <c r="D23" s="15" t="n">
        <v>976061</v>
      </c>
      <c r="E23" s="15" t="n">
        <v>5208789</v>
      </c>
      <c r="F23" s="15" t="n">
        <v>5220528</v>
      </c>
      <c r="G23" s="13">
        <f>IFERROR(ROUND((C23-F23)*100/F23,1)&amp;"%","—")</f>
        <v/>
      </c>
      <c r="H23" s="13" t="inlineStr">
        <is>
          <t>PPP International</t>
        </is>
      </c>
    </row>
    <row r="24" ht="14" customHeight="1">
      <c r="A24" s="13" t="n">
        <v>3</v>
      </c>
      <c r="B24" s="14" t="inlineStr">
        <is>
          <t>Guwahati</t>
        </is>
      </c>
      <c r="C24" s="15" t="n">
        <v>5957609</v>
      </c>
      <c r="D24" s="15" t="n">
        <v>30321</v>
      </c>
      <c r="E24" s="15" t="n">
        <v>5927288</v>
      </c>
      <c r="F24" s="15" t="n">
        <v>5051480</v>
      </c>
      <c r="G24" s="13">
        <f>IFERROR(ROUND((C24-F24)*100/F24,1)&amp;"%","—")</f>
        <v/>
      </c>
      <c r="H24" s="13" t="inlineStr">
        <is>
          <t>PPP International</t>
        </is>
      </c>
    </row>
    <row r="25" ht="14" customHeight="1">
      <c r="A25" s="13" t="n">
        <v>4</v>
      </c>
      <c r="B25" s="14" t="inlineStr">
        <is>
          <t>Jaipur</t>
        </is>
      </c>
      <c r="C25" s="15" t="n">
        <v>5466552</v>
      </c>
      <c r="D25" s="15" t="n">
        <v>413871</v>
      </c>
      <c r="E25" s="15" t="n">
        <v>5052681</v>
      </c>
      <c r="F25" s="15" t="n">
        <v>4764382</v>
      </c>
      <c r="G25" s="13">
        <f>IFERROR(ROUND((C25-F25)*100/F25,1)&amp;"%","—")</f>
        <v/>
      </c>
      <c r="H25" s="13" t="inlineStr">
        <is>
          <t>PPP International</t>
        </is>
      </c>
    </row>
    <row r="26" ht="14" customHeight="1">
      <c r="A26" s="13" t="n">
        <v>5</v>
      </c>
      <c r="B26" s="14" t="inlineStr">
        <is>
          <t>Trivandrum</t>
        </is>
      </c>
      <c r="C26" s="15" t="n">
        <v>4405318</v>
      </c>
      <c r="D26" s="15" t="n">
        <v>2050218</v>
      </c>
      <c r="E26" s="15" t="n">
        <v>2355100</v>
      </c>
      <c r="F26" s="15" t="n">
        <v>3478067</v>
      </c>
      <c r="G26" s="13">
        <f>IFERROR(ROUND((C26-F26)*100/F26,1)&amp;"%","—")</f>
        <v/>
      </c>
      <c r="H26" s="13" t="inlineStr">
        <is>
          <t>PPP International</t>
        </is>
      </c>
    </row>
    <row r="27" ht="14" customHeight="1">
      <c r="A27" s="13" t="n">
        <v>6</v>
      </c>
      <c r="B27" s="14" t="inlineStr">
        <is>
          <t>Mangaluru</t>
        </is>
      </c>
      <c r="C27" s="15" t="n">
        <v>2030387</v>
      </c>
      <c r="D27" s="15" t="n">
        <v>520498</v>
      </c>
      <c r="E27" s="15" t="n">
        <v>1509889</v>
      </c>
      <c r="F27" s="15" t="n">
        <v>1809266</v>
      </c>
      <c r="G27" s="13">
        <f>IFERROR(ROUND((C27-F27)*100/F27,1)&amp;"%","—")</f>
        <v/>
      </c>
      <c r="H27" s="13" t="inlineStr">
        <is>
          <t>PPP International</t>
        </is>
      </c>
    </row>
    <row r="28" ht="15" customHeight="1">
      <c r="A28" s="31" t="inlineStr"/>
      <c r="B28" s="32" t="inlineStr">
        <is>
          <t>TOTAL PPP</t>
        </is>
      </c>
      <c r="C28" s="33" t="n">
        <v>35740943</v>
      </c>
      <c r="D28" s="33" t="n">
        <v>5968934</v>
      </c>
      <c r="E28" s="33" t="n">
        <v>29772009</v>
      </c>
      <c r="F28" s="33" t="n">
        <v>30460724</v>
      </c>
      <c r="G28" s="31">
        <f>IFERROR(ROUND((C28-F28)*100/F28,1)&amp;"%","—")</f>
        <v/>
      </c>
      <c r="H28" s="31" t="inlineStr"/>
    </row>
    <row r="29" ht="16" customHeight="1">
      <c r="A29" s="19" t="inlineStr">
        <is>
          <t>JV INTERNATIONAL AIRPORTS</t>
        </is>
      </c>
      <c r="B29" s="34" t="n"/>
      <c r="C29" s="34" t="n"/>
      <c r="D29" s="34" t="n"/>
      <c r="E29" s="34" t="n"/>
      <c r="F29" s="34" t="n"/>
      <c r="G29" s="34" t="n"/>
      <c r="H29" s="35" t="n"/>
    </row>
    <row r="30" ht="14" customHeight="1">
      <c r="A30" s="13" t="n">
        <v>1</v>
      </c>
      <c r="B30" s="14" t="inlineStr">
        <is>
          <t>Delhi (DIAL)</t>
        </is>
      </c>
      <c r="C30" s="15" t="n">
        <v>73673708</v>
      </c>
      <c r="D30" s="15" t="n">
        <v>19470161</v>
      </c>
      <c r="E30" s="15" t="n">
        <v>54203547</v>
      </c>
      <c r="F30" s="15" t="n">
        <v>65327833</v>
      </c>
      <c r="G30" s="13">
        <f>IFERROR(ROUND((C30-F30)*100/F30,1)&amp;"%","—")</f>
        <v/>
      </c>
      <c r="H30" s="13" t="inlineStr">
        <is>
          <t>JV International</t>
        </is>
      </c>
    </row>
    <row r="31" ht="14" customHeight="1">
      <c r="A31" s="13" t="n">
        <v>2</v>
      </c>
      <c r="B31" s="14" t="inlineStr">
        <is>
          <t>Mumbai (MIAL)</t>
        </is>
      </c>
      <c r="C31" s="15" t="n">
        <v>52820754</v>
      </c>
      <c r="D31" s="15" t="n">
        <v>14318743</v>
      </c>
      <c r="E31" s="15" t="n">
        <v>38502011</v>
      </c>
      <c r="F31" s="15" t="n">
        <v>43930298</v>
      </c>
      <c r="G31" s="13">
        <f>IFERROR(ROUND((C31-F31)*100/F31,1)&amp;"%","—")</f>
        <v/>
      </c>
      <c r="H31" s="13" t="inlineStr">
        <is>
          <t>JV International</t>
        </is>
      </c>
    </row>
    <row r="32" ht="14" customHeight="1">
      <c r="A32" s="13" t="n">
        <v>3</v>
      </c>
      <c r="B32" s="14" t="inlineStr">
        <is>
          <t>Bengaluru (BIAL)</t>
        </is>
      </c>
      <c r="C32" s="15" t="n">
        <v>37528533</v>
      </c>
      <c r="D32" s="15" t="n">
        <v>4667631</v>
      </c>
      <c r="E32" s="15" t="n">
        <v>32860902</v>
      </c>
      <c r="F32" s="15" t="n">
        <v>31911429</v>
      </c>
      <c r="G32" s="13">
        <f>IFERROR(ROUND((C32-F32)*100/F32,1)&amp;"%","—")</f>
        <v/>
      </c>
      <c r="H32" s="13" t="inlineStr">
        <is>
          <t>JV International</t>
        </is>
      </c>
    </row>
    <row r="33" ht="14" customHeight="1">
      <c r="A33" s="13" t="n">
        <v>4</v>
      </c>
      <c r="B33" s="14" t="inlineStr">
        <is>
          <t>Hyderabad (GHIAL)</t>
        </is>
      </c>
      <c r="C33" s="15" t="n">
        <v>25042282</v>
      </c>
      <c r="D33" s="15" t="n">
        <v>4214573</v>
      </c>
      <c r="E33" s="15" t="n">
        <v>20827709</v>
      </c>
      <c r="F33" s="15" t="n">
        <v>20996027</v>
      </c>
      <c r="G33" s="13">
        <f>IFERROR(ROUND((C33-F33)*100/F33,1)&amp;"%","—")</f>
        <v/>
      </c>
      <c r="H33" s="13" t="inlineStr">
        <is>
          <t>JV International</t>
        </is>
      </c>
    </row>
    <row r="34" ht="14" customHeight="1">
      <c r="A34" s="13" t="n">
        <v>5</v>
      </c>
      <c r="B34" s="14" t="inlineStr">
        <is>
          <t>Kochi (CIAL)</t>
        </is>
      </c>
      <c r="C34" s="15" t="n">
        <v>10365655</v>
      </c>
      <c r="D34" s="15" t="n">
        <v>4920194</v>
      </c>
      <c r="E34" s="15" t="n">
        <v>5445461</v>
      </c>
      <c r="F34" s="15" t="n">
        <v>8812531</v>
      </c>
      <c r="G34" s="13">
        <f>IFERROR(ROUND((C34-F34)*100/F34,1)&amp;"%","—")</f>
        <v/>
      </c>
      <c r="H34" s="13" t="inlineStr">
        <is>
          <t>JV International</t>
        </is>
      </c>
    </row>
    <row r="35" ht="14" customHeight="1">
      <c r="A35" s="13" t="n">
        <v>6</v>
      </c>
      <c r="B35" s="14" t="inlineStr">
        <is>
          <t>Nagpur</t>
        </is>
      </c>
      <c r="C35" s="15" t="n">
        <v>2794427</v>
      </c>
      <c r="D35" s="15" t="n">
        <v>110730</v>
      </c>
      <c r="E35" s="15" t="n">
        <v>2683697</v>
      </c>
      <c r="F35" s="15" t="n">
        <v>2565155</v>
      </c>
      <c r="G35" s="13">
        <f>IFERROR(ROUND((C35-F35)*100/F35,1)&amp;"%","—")</f>
        <v/>
      </c>
      <c r="H35" s="13" t="inlineStr">
        <is>
          <t>JV International</t>
        </is>
      </c>
    </row>
    <row r="36" ht="14" customHeight="1">
      <c r="A36" s="13" t="n">
        <v>7</v>
      </c>
      <c r="B36" s="14" t="inlineStr">
        <is>
          <t>Kannur (KIAL)</t>
        </is>
      </c>
      <c r="C36" s="15" t="n">
        <v>1177891</v>
      </c>
      <c r="D36" s="15" t="n">
        <v>764537</v>
      </c>
      <c r="E36" s="15" t="n">
        <v>413354</v>
      </c>
      <c r="F36" s="15" t="n">
        <v>1257086</v>
      </c>
      <c r="G36" s="13">
        <f>IFERROR(ROUND((C36-F36)*100/F36,1)&amp;"%","—")</f>
        <v/>
      </c>
      <c r="H36" s="13" t="inlineStr">
        <is>
          <t>JV International</t>
        </is>
      </c>
    </row>
    <row r="37" ht="15" customHeight="1">
      <c r="A37" s="20" t="inlineStr"/>
      <c r="B37" s="21" t="inlineStr">
        <is>
          <t>TOTAL JV</t>
        </is>
      </c>
      <c r="C37" s="22" t="n">
        <v>203403250</v>
      </c>
      <c r="D37" s="22" t="n">
        <v>48466569</v>
      </c>
      <c r="E37" s="22" t="n">
        <v>154936681</v>
      </c>
      <c r="F37" s="22" t="n">
        <v>174800359</v>
      </c>
      <c r="G37" s="20">
        <f>IFERROR(ROUND((C37-F37)*100/F37,1)&amp;"%","—")</f>
        <v/>
      </c>
      <c r="H37" s="20" t="inlineStr"/>
    </row>
    <row r="38" ht="16" customHeight="1">
      <c r="A38" s="36" t="inlineStr">
        <is>
          <t>ST GOVT/PVT INTERNATIONAL</t>
        </is>
      </c>
      <c r="B38" s="34" t="n"/>
      <c r="C38" s="34" t="n"/>
      <c r="D38" s="34" t="n"/>
      <c r="E38" s="34" t="n"/>
      <c r="F38" s="34" t="n"/>
      <c r="G38" s="34" t="n"/>
      <c r="H38" s="35" t="n"/>
    </row>
    <row r="39" ht="14" customHeight="1">
      <c r="A39" s="13" t="n">
        <v>1</v>
      </c>
      <c r="B39" s="14" t="inlineStr">
        <is>
          <t>Shirdi</t>
        </is>
      </c>
      <c r="C39" s="15" t="n">
        <v>724980</v>
      </c>
      <c r="D39" s="15" t="n">
        <v>20</v>
      </c>
      <c r="E39" s="15" t="n">
        <v>724960</v>
      </c>
      <c r="F39" s="15" t="n">
        <v>733038</v>
      </c>
      <c r="G39" s="13">
        <f>IFERROR(ROUND((C39-F39)*100/F39,1)&amp;"%","—")</f>
        <v/>
      </c>
      <c r="H39" s="13" t="inlineStr">
        <is>
          <t>St Govt/Pvt Intl</t>
        </is>
      </c>
    </row>
    <row r="40" ht="14" customHeight="1">
      <c r="A40" s="13" t="n">
        <v>2</v>
      </c>
      <c r="B40" s="14" t="inlineStr">
        <is>
          <t>Goa (MOPA)</t>
        </is>
      </c>
      <c r="C40" s="15" t="n">
        <v>4406087</v>
      </c>
      <c r="D40" s="15" t="n">
        <v>115288</v>
      </c>
      <c r="E40" s="15" t="n">
        <v>4290799</v>
      </c>
      <c r="F40" s="15" t="n">
        <v>664160</v>
      </c>
      <c r="G40" s="13">
        <f>IFERROR(ROUND((C40-F40)*100/F40,1)&amp;"%","—")</f>
        <v/>
      </c>
      <c r="H40" s="13" t="inlineStr">
        <is>
          <t>St Govt/Pvt Intl</t>
        </is>
      </c>
    </row>
    <row r="41" ht="15" customHeight="1">
      <c r="A41" s="37" t="inlineStr"/>
      <c r="B41" s="38" t="inlineStr">
        <is>
          <t>TOTAL ST GOVT/PVT</t>
        </is>
      </c>
      <c r="C41" s="39" t="n">
        <v>5131067</v>
      </c>
      <c r="D41" s="39" t="n">
        <v>115308</v>
      </c>
      <c r="E41" s="39" t="n">
        <v>5015759</v>
      </c>
      <c r="F41" s="39" t="n">
        <v>1397198</v>
      </c>
      <c r="G41" s="37">
        <f>IFERROR(ROUND((C41-F41)*100/F41,1)&amp;"%","—")</f>
        <v/>
      </c>
      <c r="H41" s="37" t="inlineStr"/>
    </row>
    <row r="42" ht="16" customHeight="1">
      <c r="A42" s="23" t="inlineStr">
        <is>
          <t>CUSTOM AIRPORTS</t>
        </is>
      </c>
      <c r="B42" s="34" t="n"/>
      <c r="C42" s="34" t="n"/>
      <c r="D42" s="34" t="n"/>
      <c r="E42" s="34" t="n"/>
      <c r="F42" s="34" t="n"/>
      <c r="G42" s="34" t="n"/>
      <c r="H42" s="35" t="n"/>
    </row>
    <row r="43" ht="14" customHeight="1">
      <c r="A43" s="13" t="n">
        <v>1</v>
      </c>
      <c r="B43" s="14" t="inlineStr">
        <is>
          <t>Pune</t>
        </is>
      </c>
      <c r="C43" s="15" t="n">
        <v>9525484</v>
      </c>
      <c r="D43" s="15" t="n">
        <v>169628</v>
      </c>
      <c r="E43" s="15" t="n">
        <v>9355856</v>
      </c>
      <c r="F43" s="15" t="n">
        <v>8007160</v>
      </c>
      <c r="G43" s="13">
        <f>IFERROR(ROUND((C43-F43)*100/F43,1)&amp;"%","—")</f>
        <v/>
      </c>
      <c r="H43" s="13" t="inlineStr">
        <is>
          <t>Custom</t>
        </is>
      </c>
    </row>
    <row r="44" ht="14" customHeight="1">
      <c r="A44" s="13" t="n">
        <v>2</v>
      </c>
      <c r="B44" s="14" t="inlineStr">
        <is>
          <t>Patna</t>
        </is>
      </c>
      <c r="C44" s="15" t="n">
        <v>3440450</v>
      </c>
      <c r="D44" s="15" t="n">
        <v>0</v>
      </c>
      <c r="E44" s="15" t="n">
        <v>3440450</v>
      </c>
      <c r="F44" s="15" t="n">
        <v>3748635</v>
      </c>
      <c r="G44" s="13">
        <f>IFERROR(ROUND((C44-F44)*100/F44,1)&amp;"%","—")</f>
        <v/>
      </c>
      <c r="H44" s="13" t="inlineStr">
        <is>
          <t>Custom</t>
        </is>
      </c>
    </row>
    <row r="45" ht="14" customHeight="1">
      <c r="A45" s="13" t="n">
        <v>3</v>
      </c>
      <c r="B45" s="14" t="inlineStr">
        <is>
          <t>Chandigarh</t>
        </is>
      </c>
      <c r="C45" s="15" t="n">
        <v>3721229</v>
      </c>
      <c r="D45" s="15" t="n">
        <v>150561</v>
      </c>
      <c r="E45" s="15" t="n">
        <v>3570668</v>
      </c>
      <c r="F45" s="15" t="n">
        <v>3677786</v>
      </c>
      <c r="G45" s="13">
        <f>IFERROR(ROUND((C45-F45)*100/F45,1)&amp;"%","—")</f>
        <v/>
      </c>
      <c r="H45" s="13" t="inlineStr">
        <is>
          <t>Custom</t>
        </is>
      </c>
    </row>
    <row r="46" ht="14" customHeight="1">
      <c r="A46" s="13" t="n">
        <v>4</v>
      </c>
      <c r="B46" s="14" t="inlineStr">
        <is>
          <t>Indore</t>
        </is>
      </c>
      <c r="C46" s="15" t="n">
        <v>3464831</v>
      </c>
      <c r="D46" s="15" t="n">
        <v>42440</v>
      </c>
      <c r="E46" s="15" t="n">
        <v>3422391</v>
      </c>
      <c r="F46" s="15" t="n">
        <v>2813144</v>
      </c>
      <c r="G46" s="13">
        <f>IFERROR(ROUND((C46-F46)*100/F46,1)&amp;"%","—")</f>
        <v/>
      </c>
      <c r="H46" s="13" t="inlineStr">
        <is>
          <t>Custom</t>
        </is>
      </c>
    </row>
    <row r="47" ht="14" customHeight="1">
      <c r="A47" s="13" t="n">
        <v>5</v>
      </c>
      <c r="B47" s="14" t="inlineStr">
        <is>
          <t>Bagdogra</t>
        </is>
      </c>
      <c r="C47" s="15" t="n">
        <v>3118368</v>
      </c>
      <c r="D47" s="15" t="n">
        <v>21137</v>
      </c>
      <c r="E47" s="15" t="n">
        <v>3097231</v>
      </c>
      <c r="F47" s="15" t="n">
        <v>2543339</v>
      </c>
      <c r="G47" s="13">
        <f>IFERROR(ROUND((C47-F47)*100/F47,1)&amp;"%","—")</f>
        <v/>
      </c>
      <c r="H47" s="13" t="inlineStr">
        <is>
          <t>Custom</t>
        </is>
      </c>
    </row>
    <row r="48" ht="14" customHeight="1">
      <c r="A48" s="13" t="n">
        <v>6</v>
      </c>
      <c r="B48" s="14" t="inlineStr">
        <is>
          <t>Visakhapatnam</t>
        </is>
      </c>
      <c r="C48" s="15" t="n">
        <v>2788665</v>
      </c>
      <c r="D48" s="15" t="n">
        <v>66123</v>
      </c>
      <c r="E48" s="15" t="n">
        <v>2722542</v>
      </c>
      <c r="F48" s="15" t="n">
        <v>2435320</v>
      </c>
      <c r="G48" s="13">
        <f>IFERROR(ROUND((C48-F48)*100/F48,1)&amp;"%","—")</f>
        <v/>
      </c>
      <c r="H48" s="13" t="inlineStr">
        <is>
          <t>Custom</t>
        </is>
      </c>
    </row>
    <row r="49" ht="14" customHeight="1">
      <c r="A49" s="13" t="n">
        <v>7</v>
      </c>
      <c r="B49" s="14" t="inlineStr">
        <is>
          <t>Surat</t>
        </is>
      </c>
      <c r="C49" s="15" t="n">
        <v>1380752</v>
      </c>
      <c r="D49" s="15" t="n">
        <v>79561</v>
      </c>
      <c r="E49" s="15" t="n">
        <v>1301191</v>
      </c>
      <c r="F49" s="15" t="n">
        <v>1239913</v>
      </c>
      <c r="G49" s="13">
        <f>IFERROR(ROUND((C49-F49)*100/F49,1)&amp;"%","—")</f>
        <v/>
      </c>
      <c r="H49" s="13" t="inlineStr">
        <is>
          <t>Custom</t>
        </is>
      </c>
    </row>
    <row r="50" ht="14" customHeight="1">
      <c r="A50" s="13" t="n">
        <v>8</v>
      </c>
      <c r="B50" s="14" t="inlineStr">
        <is>
          <t>Madurai</t>
        </is>
      </c>
      <c r="C50" s="15" t="n">
        <v>1285976</v>
      </c>
      <c r="D50" s="15" t="n">
        <v>227039</v>
      </c>
      <c r="E50" s="15" t="n">
        <v>1058937</v>
      </c>
      <c r="F50" s="15" t="n">
        <v>1138005</v>
      </c>
      <c r="G50" s="13">
        <f>IFERROR(ROUND((C50-F50)*100/F50,1)&amp;"%","—")</f>
        <v/>
      </c>
      <c r="H50" s="13" t="inlineStr">
        <is>
          <t>Custom</t>
        </is>
      </c>
    </row>
    <row r="51" ht="14" customHeight="1">
      <c r="A51" s="13" t="n">
        <v>9</v>
      </c>
      <c r="B51" s="14" t="inlineStr">
        <is>
          <t>Aurangabad</t>
        </is>
      </c>
      <c r="C51" s="15" t="n">
        <v>623915</v>
      </c>
      <c r="D51" s="15" t="n">
        <v>3715</v>
      </c>
      <c r="E51" s="15" t="n">
        <v>620200</v>
      </c>
      <c r="F51" s="15" t="n">
        <v>468486</v>
      </c>
      <c r="G51" s="13">
        <f>IFERROR(ROUND((C51-F51)*100/F51,1)&amp;"%","—")</f>
        <v/>
      </c>
      <c r="H51" s="13" t="inlineStr">
        <is>
          <t>Custom</t>
        </is>
      </c>
    </row>
    <row r="52" ht="14" customHeight="1">
      <c r="A52" s="13" t="n">
        <v>10</v>
      </c>
      <c r="B52" s="14" t="inlineStr">
        <is>
          <t>Gaya</t>
        </is>
      </c>
      <c r="C52" s="15" t="n">
        <v>320295</v>
      </c>
      <c r="D52" s="15" t="n">
        <v>104789</v>
      </c>
      <c r="E52" s="15" t="n">
        <v>215506</v>
      </c>
      <c r="F52" s="15" t="n">
        <v>229460</v>
      </c>
      <c r="G52" s="13">
        <f>IFERROR(ROUND((C52-F52)*100/F52,1)&amp;"%","—")</f>
        <v/>
      </c>
      <c r="H52" s="13" t="inlineStr">
        <is>
          <t>Custom</t>
        </is>
      </c>
    </row>
    <row r="53" ht="15" customHeight="1">
      <c r="A53" s="24" t="inlineStr"/>
      <c r="B53" s="25" t="inlineStr">
        <is>
          <t>TOTAL CUSTOM</t>
        </is>
      </c>
      <c r="C53" s="26" t="n">
        <v>29669965</v>
      </c>
      <c r="D53" s="26" t="n">
        <v>864993</v>
      </c>
      <c r="E53" s="26" t="n">
        <v>28804972</v>
      </c>
      <c r="F53" s="26" t="n">
        <v>26393991</v>
      </c>
      <c r="G53" s="24">
        <f>IFERROR(ROUND((C53-F53)*100/F53,1)&amp;"%","—")</f>
        <v/>
      </c>
      <c r="H53" s="24" t="inlineStr"/>
    </row>
    <row r="54" ht="15" customHeight="1">
      <c r="A54" s="27" t="inlineStr"/>
      <c r="B54" s="28" t="inlineStr">
        <is>
          <t>GRAND TOTAL</t>
        </is>
      </c>
      <c r="C54" s="29" t="n">
        <v>376472107</v>
      </c>
      <c r="D54" s="29" t="n">
        <v>69638262</v>
      </c>
      <c r="E54" s="29" t="n">
        <v>306833845</v>
      </c>
      <c r="F54" s="29" t="n">
        <v>327279136</v>
      </c>
      <c r="G54" s="27">
        <f>IFERROR(ROUND((C54-F54)*100/F54,1)&amp;"%","—")</f>
        <v/>
      </c>
      <c r="H54" s="27" t="inlineStr"/>
    </row>
  </sheetData>
  <mergeCells count="7">
    <mergeCell ref="A4:H4"/>
    <mergeCell ref="A21:H21"/>
    <mergeCell ref="A29:H29"/>
    <mergeCell ref="A38:H38"/>
    <mergeCell ref="A2:H2"/>
    <mergeCell ref="A42:H4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  <col width="26" customWidth="1" min="8" max="8"/>
  </cols>
  <sheetData>
    <row r="1" ht="26" customHeight="1">
      <c r="A1" s="9" t="inlineStr">
        <is>
          <t>ANNEXURE III-C: Total Passengers (Intl + Domestic) | 2024-2025</t>
        </is>
      </c>
    </row>
    <row r="2" ht="14" customHeight="1">
      <c r="A2" s="10" t="inlineStr">
        <is>
          <t>Source: DGCA Annexure-III | April to March 2024-2025</t>
        </is>
      </c>
    </row>
    <row r="3" ht="30" customHeight="1">
      <c r="A3" s="11" t="inlineStr">
        <is>
          <t>S.No</t>
        </is>
      </c>
      <c r="B3" s="11" t="inlineStr">
        <is>
          <t>Airport</t>
        </is>
      </c>
      <c r="C3" s="11" t="inlineStr">
        <is>
          <t>FY Current
(Total)</t>
        </is>
      </c>
      <c r="D3" s="11" t="inlineStr">
        <is>
          <t>FY Intl</t>
        </is>
      </c>
      <c r="E3" s="11" t="inlineStr">
        <is>
          <t>FY Domestic</t>
        </is>
      </c>
      <c r="F3" s="11" t="inlineStr">
        <is>
          <t>FY Prev
(Total)</t>
        </is>
      </c>
      <c r="G3" s="11" t="inlineStr">
        <is>
          <t>FY
Change%</t>
        </is>
      </c>
      <c r="H3" s="11" t="inlineStr">
        <is>
          <t>Airport Category</t>
        </is>
      </c>
    </row>
    <row r="4" ht="16" customHeight="1">
      <c r="A4" s="12" t="inlineStr">
        <is>
          <t>INTERNATIONAL AIRPORTS</t>
        </is>
      </c>
      <c r="B4" s="34" t="n"/>
      <c r="C4" s="34" t="n"/>
      <c r="D4" s="34" t="n"/>
      <c r="E4" s="34" t="n"/>
      <c r="F4" s="34" t="n"/>
      <c r="G4" s="34" t="n"/>
      <c r="H4" s="35" t="n"/>
    </row>
    <row r="5" ht="14" customHeight="1">
      <c r="A5" s="13" t="n">
        <v>1</v>
      </c>
      <c r="B5" s="14" t="inlineStr">
        <is>
          <t>Amritsar</t>
        </is>
      </c>
      <c r="C5" s="15" t="n">
        <v>3542880</v>
      </c>
      <c r="D5" s="15" t="n">
        <v>1153461</v>
      </c>
      <c r="E5" s="15" t="n">
        <v>2389419</v>
      </c>
      <c r="F5" s="15" t="n">
        <v>3085598</v>
      </c>
      <c r="G5" s="13">
        <f>IFERROR(ROUND((C5-F5)*100/F5,1)&amp;"%","—")</f>
        <v/>
      </c>
      <c r="H5" s="13" t="inlineStr">
        <is>
          <t>International</t>
        </is>
      </c>
    </row>
    <row r="6" ht="14" customHeight="1">
      <c r="A6" s="13" t="n">
        <v>2</v>
      </c>
      <c r="B6" s="14" t="inlineStr">
        <is>
          <t>Ayodhya</t>
        </is>
      </c>
      <c r="C6" s="15" t="n">
        <v>1115016</v>
      </c>
      <c r="D6" s="15" t="n">
        <v>22</v>
      </c>
      <c r="E6" s="15" t="n">
        <v>1114994</v>
      </c>
      <c r="F6" s="15" t="n">
        <v>213015</v>
      </c>
      <c r="G6" s="13">
        <f>IFERROR(ROUND((C6-F6)*100/F6,1)&amp;"%","—")</f>
        <v/>
      </c>
      <c r="H6" s="13" t="inlineStr">
        <is>
          <t>International</t>
        </is>
      </c>
    </row>
    <row r="7" ht="14" customHeight="1">
      <c r="A7" s="13" t="n">
        <v>3</v>
      </c>
      <c r="B7" s="14" t="inlineStr">
        <is>
          <t>Bhubaneswar</t>
        </is>
      </c>
      <c r="C7" s="15" t="n">
        <v>4838751</v>
      </c>
      <c r="D7" s="15" t="n">
        <v>124591</v>
      </c>
      <c r="E7" s="15" t="n">
        <v>4714160</v>
      </c>
      <c r="F7" s="15" t="n">
        <v>4600615</v>
      </c>
      <c r="G7" s="13">
        <f>IFERROR(ROUND((C7-F7)*100/F7,1)&amp;"%","—")</f>
        <v/>
      </c>
      <c r="H7" s="13" t="inlineStr">
        <is>
          <t>International</t>
        </is>
      </c>
    </row>
    <row r="8" ht="14" customHeight="1">
      <c r="A8" s="13" t="n">
        <v>4</v>
      </c>
      <c r="B8" s="14" t="inlineStr">
        <is>
          <t>Chennai</t>
        </is>
      </c>
      <c r="C8" s="15" t="n">
        <v>22411290</v>
      </c>
      <c r="D8" s="15" t="n">
        <v>5855344</v>
      </c>
      <c r="E8" s="15" t="n">
        <v>16555946</v>
      </c>
      <c r="F8" s="15" t="n">
        <v>21207262</v>
      </c>
      <c r="G8" s="13">
        <f>IFERROR(ROUND((C8-F8)*100/F8,1)&amp;"%","—")</f>
        <v/>
      </c>
      <c r="H8" s="13" t="inlineStr">
        <is>
          <t>International</t>
        </is>
      </c>
    </row>
    <row r="9" ht="14" customHeight="1">
      <c r="A9" s="13" t="n">
        <v>5</v>
      </c>
      <c r="B9" s="14" t="inlineStr">
        <is>
          <t>Coimbatore</t>
        </is>
      </c>
      <c r="C9" s="15" t="n">
        <v>3253190</v>
      </c>
      <c r="D9" s="15" t="n">
        <v>263385</v>
      </c>
      <c r="E9" s="15" t="n">
        <v>2989805</v>
      </c>
      <c r="F9" s="15" t="n">
        <v>2904611</v>
      </c>
      <c r="G9" s="13">
        <f>IFERROR(ROUND((C9-F9)*100/F9,1)&amp;"%","—")</f>
        <v/>
      </c>
      <c r="H9" s="13" t="inlineStr">
        <is>
          <t>International</t>
        </is>
      </c>
    </row>
    <row r="10" ht="14" customHeight="1">
      <c r="A10" s="13" t="n">
        <v>6</v>
      </c>
      <c r="B10" s="14" t="inlineStr">
        <is>
          <t>Goa</t>
        </is>
      </c>
      <c r="C10" s="15" t="n">
        <v>7260779</v>
      </c>
      <c r="D10" s="15" t="n">
        <v>241752</v>
      </c>
      <c r="E10" s="15" t="n">
        <v>7019027</v>
      </c>
      <c r="F10" s="15" t="n">
        <v>6872411</v>
      </c>
      <c r="G10" s="13">
        <f>IFERROR(ROUND((C10-F10)*100/F10,1)&amp;"%","—")</f>
        <v/>
      </c>
      <c r="H10" s="13" t="inlineStr">
        <is>
          <t>International</t>
        </is>
      </c>
    </row>
    <row r="11" ht="14" customHeight="1">
      <c r="A11" s="13" t="n">
        <v>7</v>
      </c>
      <c r="B11" s="14" t="inlineStr">
        <is>
          <t>Imphal</t>
        </is>
      </c>
      <c r="C11" s="15" t="n">
        <v>1406227</v>
      </c>
      <c r="D11" s="15" t="n">
        <v>2</v>
      </c>
      <c r="E11" s="15" t="n">
        <v>1406225</v>
      </c>
      <c r="F11" s="15" t="n">
        <v>1274666</v>
      </c>
      <c r="G11" s="13">
        <f>IFERROR(ROUND((C11-F11)*100/F11,1)&amp;"%","—")</f>
        <v/>
      </c>
      <c r="H11" s="13" t="inlineStr">
        <is>
          <t>International</t>
        </is>
      </c>
    </row>
    <row r="12" ht="14" customHeight="1">
      <c r="A12" s="13" t="n">
        <v>8</v>
      </c>
      <c r="B12" s="14" t="inlineStr">
        <is>
          <t>Kolkata</t>
        </is>
      </c>
      <c r="C12" s="15" t="n">
        <v>21831118</v>
      </c>
      <c r="D12" s="15" t="n">
        <v>2419466</v>
      </c>
      <c r="E12" s="15" t="n">
        <v>19411652</v>
      </c>
      <c r="F12" s="15" t="n">
        <v>19784417</v>
      </c>
      <c r="G12" s="13">
        <f>IFERROR(ROUND((C12-F12)*100/F12,1)&amp;"%","—")</f>
        <v/>
      </c>
      <c r="H12" s="13" t="inlineStr">
        <is>
          <t>International</t>
        </is>
      </c>
    </row>
    <row r="13" ht="14" customHeight="1">
      <c r="A13" s="13" t="n">
        <v>9</v>
      </c>
      <c r="B13" s="14" t="inlineStr">
        <is>
          <t>Kozhikode</t>
        </is>
      </c>
      <c r="C13" s="15" t="n">
        <v>3695944</v>
      </c>
      <c r="D13" s="15" t="n">
        <v>2965957</v>
      </c>
      <c r="E13" s="15" t="n">
        <v>729987</v>
      </c>
      <c r="F13" s="15" t="n">
        <v>3320250</v>
      </c>
      <c r="G13" s="13">
        <f>IFERROR(ROUND((C13-F13)*100/F13,1)&amp;"%","—")</f>
        <v/>
      </c>
      <c r="H13" s="13" t="inlineStr">
        <is>
          <t>International</t>
        </is>
      </c>
    </row>
    <row r="14" ht="14" customHeight="1">
      <c r="A14" s="13" t="n">
        <v>10</v>
      </c>
      <c r="B14" s="14" t="inlineStr">
        <is>
          <t>Port Blair</t>
        </is>
      </c>
      <c r="C14" s="15" t="n">
        <v>1656704</v>
      </c>
      <c r="D14" s="15" t="n">
        <v>9929</v>
      </c>
      <c r="E14" s="15" t="n">
        <v>1646775</v>
      </c>
      <c r="F14" s="15" t="n">
        <v>1453811</v>
      </c>
      <c r="G14" s="13">
        <f>IFERROR(ROUND((C14-F14)*100/F14,1)&amp;"%","—")</f>
        <v/>
      </c>
      <c r="H14" s="13" t="inlineStr">
        <is>
          <t>International</t>
        </is>
      </c>
    </row>
    <row r="15" ht="14" customHeight="1">
      <c r="A15" s="13" t="n">
        <v>11</v>
      </c>
      <c r="B15" s="14" t="inlineStr">
        <is>
          <t>Rajkot (Hirasar)</t>
        </is>
      </c>
      <c r="C15" s="15" t="n">
        <v>1088570</v>
      </c>
      <c r="D15" s="15" t="n">
        <v>0</v>
      </c>
      <c r="E15" s="15" t="n">
        <v>1088570</v>
      </c>
      <c r="F15" s="15" t="n">
        <v>525668</v>
      </c>
      <c r="G15" s="13">
        <f>IFERROR(ROUND((C15-F15)*100/F15,1)&amp;"%","—")</f>
        <v/>
      </c>
      <c r="H15" s="13" t="inlineStr">
        <is>
          <t>International</t>
        </is>
      </c>
    </row>
    <row r="16" ht="14" customHeight="1">
      <c r="A16" s="13" t="n">
        <v>12</v>
      </c>
      <c r="B16" s="14" t="inlineStr">
        <is>
          <t>Srinagar</t>
        </is>
      </c>
      <c r="C16" s="15" t="n">
        <v>4472449</v>
      </c>
      <c r="D16" s="15" t="n">
        <v>13598</v>
      </c>
      <c r="E16" s="15" t="n">
        <v>4458851</v>
      </c>
      <c r="F16" s="15" t="n">
        <v>4205541</v>
      </c>
      <c r="G16" s="13">
        <f>IFERROR(ROUND((C16-F16)*100/F16,1)&amp;"%","—")</f>
        <v/>
      </c>
      <c r="H16" s="13" t="inlineStr">
        <is>
          <t>International</t>
        </is>
      </c>
    </row>
    <row r="17" ht="14" customHeight="1">
      <c r="A17" s="13" t="n">
        <v>13</v>
      </c>
      <c r="B17" s="14" t="inlineStr">
        <is>
          <t>Surat</t>
        </is>
      </c>
      <c r="C17" s="15" t="n">
        <v>1724821</v>
      </c>
      <c r="D17" s="15" t="n">
        <v>158395</v>
      </c>
      <c r="E17" s="15" t="n">
        <v>1566426</v>
      </c>
      <c r="F17" s="15" t="n">
        <v>1380752</v>
      </c>
      <c r="G17" s="13">
        <f>IFERROR(ROUND((C17-F17)*100/F17,1)&amp;"%","—")</f>
        <v/>
      </c>
      <c r="H17" s="13" t="inlineStr">
        <is>
          <t>International</t>
        </is>
      </c>
    </row>
    <row r="18" ht="14" customHeight="1">
      <c r="A18" s="13" t="n">
        <v>14</v>
      </c>
      <c r="B18" s="14" t="inlineStr">
        <is>
          <t>Tiruchirappalli</t>
        </is>
      </c>
      <c r="C18" s="15" t="n">
        <v>1956851</v>
      </c>
      <c r="D18" s="15" t="n">
        <v>1398630</v>
      </c>
      <c r="E18" s="15" t="n">
        <v>558221</v>
      </c>
      <c r="F18" s="15" t="n">
        <v>1763942</v>
      </c>
      <c r="G18" s="13">
        <f>IFERROR(ROUND((C18-F18)*100/F18,1)&amp;"%","—")</f>
        <v/>
      </c>
      <c r="H18" s="13" t="inlineStr">
        <is>
          <t>International</t>
        </is>
      </c>
    </row>
    <row r="19" ht="14" customHeight="1">
      <c r="A19" s="13" t="n">
        <v>15</v>
      </c>
      <c r="B19" s="14" t="inlineStr">
        <is>
          <t>Tirupati</t>
        </is>
      </c>
      <c r="C19" s="15" t="n">
        <v>995640</v>
      </c>
      <c r="D19" s="15" t="n">
        <v>0</v>
      </c>
      <c r="E19" s="15" t="n">
        <v>995640</v>
      </c>
      <c r="F19" s="15" t="n">
        <v>870662</v>
      </c>
      <c r="G19" s="13">
        <f>IFERROR(ROUND((C19-F19)*100/F19,1)&amp;"%","—")</f>
        <v/>
      </c>
      <c r="H19" s="13" t="inlineStr">
        <is>
          <t>International</t>
        </is>
      </c>
    </row>
    <row r="20" ht="14" customHeight="1">
      <c r="A20" s="13" t="n">
        <v>16</v>
      </c>
      <c r="B20" s="14" t="inlineStr">
        <is>
          <t>Varanasi</t>
        </is>
      </c>
      <c r="C20" s="15" t="n">
        <v>4027810</v>
      </c>
      <c r="D20" s="15" t="n">
        <v>121586</v>
      </c>
      <c r="E20" s="15" t="n">
        <v>3906224</v>
      </c>
      <c r="F20" s="15" t="n">
        <v>2996698</v>
      </c>
      <c r="G20" s="13">
        <f>IFERROR(ROUND((C20-F20)*100/F20,1)&amp;"%","—")</f>
        <v/>
      </c>
      <c r="H20" s="13" t="inlineStr">
        <is>
          <t>International</t>
        </is>
      </c>
    </row>
    <row r="21" ht="14" customHeight="1">
      <c r="A21" s="13" t="n">
        <v>17</v>
      </c>
      <c r="B21" s="14" t="inlineStr">
        <is>
          <t>Vijayawada</t>
        </is>
      </c>
      <c r="C21" s="15" t="n">
        <v>1388943</v>
      </c>
      <c r="D21" s="15" t="n">
        <v>28894</v>
      </c>
      <c r="E21" s="15" t="n">
        <v>1360049</v>
      </c>
      <c r="F21" s="15" t="n">
        <v>1062506</v>
      </c>
      <c r="G21" s="13">
        <f>IFERROR(ROUND((C21-F21)*100/F21,1)&amp;"%","—")</f>
        <v/>
      </c>
      <c r="H21" s="13" t="inlineStr">
        <is>
          <t>International</t>
        </is>
      </c>
    </row>
    <row r="22" ht="15" customHeight="1">
      <c r="A22" s="16" t="inlineStr"/>
      <c r="B22" s="17" t="inlineStr">
        <is>
          <t>TOTAL INTL</t>
        </is>
      </c>
      <c r="C22" s="18" t="n">
        <v>86651348</v>
      </c>
      <c r="D22" s="18" t="n">
        <v>14755012</v>
      </c>
      <c r="E22" s="18" t="n">
        <v>71896336</v>
      </c>
      <c r="F22" s="18" t="n">
        <v>77540167</v>
      </c>
      <c r="G22" s="16">
        <f>IFERROR(ROUND((C22-F22)*100/F22,1)&amp;"%","—")</f>
        <v/>
      </c>
      <c r="H22" s="16" t="inlineStr"/>
    </row>
    <row r="23" ht="16" customHeight="1">
      <c r="A23" s="30" t="inlineStr">
        <is>
          <t>PPP INTERNATIONAL</t>
        </is>
      </c>
      <c r="B23" s="34" t="n"/>
      <c r="C23" s="34" t="n"/>
      <c r="D23" s="34" t="n"/>
      <c r="E23" s="34" t="n"/>
      <c r="F23" s="34" t="n"/>
      <c r="G23" s="34" t="n"/>
      <c r="H23" s="35" t="n"/>
    </row>
    <row r="24" ht="14" customHeight="1">
      <c r="A24" s="13" t="n">
        <v>1</v>
      </c>
      <c r="B24" s="14" t="inlineStr">
        <is>
          <t>Ahmedabad</t>
        </is>
      </c>
      <c r="C24" s="15" t="n">
        <v>13427697</v>
      </c>
      <c r="D24" s="15" t="n">
        <v>2232203</v>
      </c>
      <c r="E24" s="15" t="n">
        <v>11195494</v>
      </c>
      <c r="F24" s="15" t="n">
        <v>11696227</v>
      </c>
      <c r="G24" s="13">
        <f>IFERROR(ROUND((C24-F24)*100/F24,1)&amp;"%","—")</f>
        <v/>
      </c>
      <c r="H24" s="13" t="inlineStr">
        <is>
          <t>PPP International</t>
        </is>
      </c>
    </row>
    <row r="25" ht="14" customHeight="1">
      <c r="A25" s="13" t="n">
        <v>2</v>
      </c>
      <c r="B25" s="14" t="inlineStr">
        <is>
          <t>Guwahati</t>
        </is>
      </c>
      <c r="C25" s="15" t="n">
        <v>6160157</v>
      </c>
      <c r="D25" s="15" t="n">
        <v>58302</v>
      </c>
      <c r="E25" s="15" t="n">
        <v>6101855</v>
      </c>
      <c r="F25" s="15" t="n">
        <v>5957609</v>
      </c>
      <c r="G25" s="13">
        <f>IFERROR(ROUND((C25-F25)*100/F25,1)&amp;"%","—")</f>
        <v/>
      </c>
      <c r="H25" s="13" t="inlineStr">
        <is>
          <t>PPP International</t>
        </is>
      </c>
    </row>
    <row r="26" ht="14" customHeight="1">
      <c r="A26" s="13" t="n">
        <v>3</v>
      </c>
      <c r="B26" s="14" t="inlineStr">
        <is>
          <t>Jaipur</t>
        </is>
      </c>
      <c r="C26" s="15" t="n">
        <v>6057249</v>
      </c>
      <c r="D26" s="15" t="n">
        <v>526542</v>
      </c>
      <c r="E26" s="15" t="n">
        <v>5530707</v>
      </c>
      <c r="F26" s="15" t="n">
        <v>5466552</v>
      </c>
      <c r="G26" s="13">
        <f>IFERROR(ROUND((C26-F26)*100/F26,1)&amp;"%","—")</f>
        <v/>
      </c>
      <c r="H26" s="13" t="inlineStr">
        <is>
          <t>PPP International</t>
        </is>
      </c>
    </row>
    <row r="27" ht="14" customHeight="1">
      <c r="A27" s="13" t="n">
        <v>4</v>
      </c>
      <c r="B27" s="14" t="inlineStr">
        <is>
          <t>Lucknow</t>
        </is>
      </c>
      <c r="C27" s="15" t="n">
        <v>6438506</v>
      </c>
      <c r="D27" s="15" t="n">
        <v>1176551</v>
      </c>
      <c r="E27" s="15" t="n">
        <v>5261955</v>
      </c>
      <c r="F27" s="15" t="n">
        <v>6184850</v>
      </c>
      <c r="G27" s="13">
        <f>IFERROR(ROUND((C27-F27)*100/F27,1)&amp;"%","—")</f>
        <v/>
      </c>
      <c r="H27" s="13" t="inlineStr">
        <is>
          <t>PPP International</t>
        </is>
      </c>
    </row>
    <row r="28" ht="14" customHeight="1">
      <c r="A28" s="13" t="n">
        <v>5</v>
      </c>
      <c r="B28" s="14" t="inlineStr">
        <is>
          <t>Mangaluru</t>
        </is>
      </c>
      <c r="C28" s="15" t="n">
        <v>2343032</v>
      </c>
      <c r="D28" s="15" t="n">
        <v>615039</v>
      </c>
      <c r="E28" s="15" t="n">
        <v>1727993</v>
      </c>
      <c r="F28" s="15" t="n">
        <v>2030387</v>
      </c>
      <c r="G28" s="13">
        <f>IFERROR(ROUND((C28-F28)*100/F28,1)&amp;"%","—")</f>
        <v/>
      </c>
      <c r="H28" s="13" t="inlineStr">
        <is>
          <t>PPP International</t>
        </is>
      </c>
    </row>
    <row r="29" ht="14" customHeight="1">
      <c r="A29" s="13" t="n">
        <v>6</v>
      </c>
      <c r="B29" s="14" t="inlineStr">
        <is>
          <t>Thiruvananthapuram</t>
        </is>
      </c>
      <c r="C29" s="15" t="n">
        <v>4891009</v>
      </c>
      <c r="D29" s="15" t="n">
        <v>2344298</v>
      </c>
      <c r="E29" s="15" t="n">
        <v>2546711</v>
      </c>
      <c r="F29" s="15" t="n">
        <v>4405318</v>
      </c>
      <c r="G29" s="13">
        <f>IFERROR(ROUND((C29-F29)*100/F29,1)&amp;"%","—")</f>
        <v/>
      </c>
      <c r="H29" s="13" t="inlineStr">
        <is>
          <t>PPP International</t>
        </is>
      </c>
    </row>
    <row r="30" ht="15" customHeight="1">
      <c r="A30" s="31" t="inlineStr"/>
      <c r="B30" s="32" t="inlineStr">
        <is>
          <t>TOTAL PPP</t>
        </is>
      </c>
      <c r="C30" s="33" t="n">
        <v>39317650</v>
      </c>
      <c r="D30" s="33" t="n">
        <v>6952935</v>
      </c>
      <c r="E30" s="33" t="n">
        <v>32364715</v>
      </c>
      <c r="F30" s="33" t="n">
        <v>35740943</v>
      </c>
      <c r="G30" s="31">
        <f>IFERROR(ROUND((C30-F30)*100/F30,1)&amp;"%","—")</f>
        <v/>
      </c>
      <c r="H30" s="31" t="inlineStr"/>
    </row>
    <row r="31" ht="16" customHeight="1">
      <c r="A31" s="19" t="inlineStr">
        <is>
          <t>JV INTERNATIONAL AIRPORTS</t>
        </is>
      </c>
      <c r="B31" s="34" t="n"/>
      <c r="C31" s="34" t="n"/>
      <c r="D31" s="34" t="n"/>
      <c r="E31" s="34" t="n"/>
      <c r="F31" s="34" t="n"/>
      <c r="G31" s="34" t="n"/>
      <c r="H31" s="35" t="n"/>
    </row>
    <row r="32" ht="14" customHeight="1">
      <c r="A32" s="13" t="n">
        <v>1</v>
      </c>
      <c r="B32" s="14" t="inlineStr">
        <is>
          <t>Bengaluru (BIAL)</t>
        </is>
      </c>
      <c r="C32" s="15" t="n">
        <v>41875620</v>
      </c>
      <c r="D32" s="15" t="n">
        <v>5834155</v>
      </c>
      <c r="E32" s="15" t="n">
        <v>36041465</v>
      </c>
      <c r="F32" s="15" t="n">
        <v>37528533</v>
      </c>
      <c r="G32" s="13">
        <f>IFERROR(ROUND((C32-F32)*100/F32,1)&amp;"%","—")</f>
        <v/>
      </c>
      <c r="H32" s="13" t="inlineStr">
        <is>
          <t>JV International</t>
        </is>
      </c>
    </row>
    <row r="33" ht="14" customHeight="1">
      <c r="A33" s="13" t="n">
        <v>2</v>
      </c>
      <c r="B33" s="14" t="inlineStr">
        <is>
          <t>Delhi (IGIA)</t>
        </is>
      </c>
      <c r="C33" s="15" t="n">
        <v>79259890</v>
      </c>
      <c r="D33" s="15" t="n">
        <v>21561977</v>
      </c>
      <c r="E33" s="15" t="n">
        <v>57697913</v>
      </c>
      <c r="F33" s="15" t="n">
        <v>73673708</v>
      </c>
      <c r="G33" s="13">
        <f>IFERROR(ROUND((C33-F33)*100/F33,1)&amp;"%","—")</f>
        <v/>
      </c>
      <c r="H33" s="13" t="inlineStr">
        <is>
          <t>JV International</t>
        </is>
      </c>
    </row>
    <row r="34" ht="14" customHeight="1">
      <c r="A34" s="13" t="n">
        <v>3</v>
      </c>
      <c r="B34" s="14" t="inlineStr">
        <is>
          <t>Hyderabad (GHIAL)</t>
        </is>
      </c>
      <c r="C34" s="15" t="n">
        <v>29165232</v>
      </c>
      <c r="D34" s="15" t="n">
        <v>4731033</v>
      </c>
      <c r="E34" s="15" t="n">
        <v>24434199</v>
      </c>
      <c r="F34" s="15" t="n">
        <v>25042282</v>
      </c>
      <c r="G34" s="13">
        <f>IFERROR(ROUND((C34-F34)*100/F34,1)&amp;"%","—")</f>
        <v/>
      </c>
      <c r="H34" s="13" t="inlineStr">
        <is>
          <t>JV International</t>
        </is>
      </c>
    </row>
    <row r="35" ht="14" customHeight="1">
      <c r="A35" s="13" t="n">
        <v>4</v>
      </c>
      <c r="B35" s="14" t="inlineStr">
        <is>
          <t>Kannur (KIAL)</t>
        </is>
      </c>
      <c r="C35" s="15" t="n">
        <v>1344021</v>
      </c>
      <c r="D35" s="15" t="n">
        <v>964073</v>
      </c>
      <c r="E35" s="15" t="n">
        <v>379948</v>
      </c>
      <c r="F35" s="15" t="n">
        <v>1177891</v>
      </c>
      <c r="G35" s="13">
        <f>IFERROR(ROUND((C35-F35)*100/F35,1)&amp;"%","—")</f>
        <v/>
      </c>
      <c r="H35" s="13" t="inlineStr">
        <is>
          <t>JV International</t>
        </is>
      </c>
    </row>
    <row r="36" ht="14" customHeight="1">
      <c r="A36" s="13" t="n">
        <v>5</v>
      </c>
      <c r="B36" s="14" t="inlineStr">
        <is>
          <t>Kochi</t>
        </is>
      </c>
      <c r="C36" s="15" t="n">
        <v>11140778</v>
      </c>
      <c r="D36" s="15" t="n">
        <v>5242146</v>
      </c>
      <c r="E36" s="15" t="n">
        <v>5898632</v>
      </c>
      <c r="F36" s="15" t="n">
        <v>10365655</v>
      </c>
      <c r="G36" s="13">
        <f>IFERROR(ROUND((C36-F36)*100/F36,1)&amp;"%","—")</f>
        <v/>
      </c>
      <c r="H36" s="13" t="inlineStr">
        <is>
          <t>JV International</t>
        </is>
      </c>
    </row>
    <row r="37" ht="14" customHeight="1">
      <c r="A37" s="13" t="n">
        <v>6</v>
      </c>
      <c r="B37" s="14" t="inlineStr">
        <is>
          <t>Mumbai (MIAL)</t>
        </is>
      </c>
      <c r="C37" s="15" t="n">
        <v>55122422</v>
      </c>
      <c r="D37" s="15" t="n">
        <v>15598554</v>
      </c>
      <c r="E37" s="15" t="n">
        <v>39523868</v>
      </c>
      <c r="F37" s="15" t="n">
        <v>52820754</v>
      </c>
      <c r="G37" s="13">
        <f>IFERROR(ROUND((C37-F37)*100/F37,1)&amp;"%","—")</f>
        <v/>
      </c>
      <c r="H37" s="13" t="inlineStr">
        <is>
          <t>JV International</t>
        </is>
      </c>
    </row>
    <row r="38" ht="14" customHeight="1">
      <c r="A38" s="13" t="n">
        <v>7</v>
      </c>
      <c r="B38" s="14" t="inlineStr">
        <is>
          <t>Nagpur</t>
        </is>
      </c>
      <c r="C38" s="15" t="n">
        <v>2894099</v>
      </c>
      <c r="D38" s="15" t="n">
        <v>104448</v>
      </c>
      <c r="E38" s="15" t="n">
        <v>2789651</v>
      </c>
      <c r="F38" s="15" t="n">
        <v>2794427</v>
      </c>
      <c r="G38" s="13">
        <f>IFERROR(ROUND((C38-F38)*100/F38,1)&amp;"%","—")</f>
        <v/>
      </c>
      <c r="H38" s="13" t="inlineStr">
        <is>
          <t>JV International</t>
        </is>
      </c>
    </row>
    <row r="39" ht="15" customHeight="1">
      <c r="A39" s="20" t="inlineStr"/>
      <c r="B39" s="21" t="inlineStr">
        <is>
          <t>TOTAL JV</t>
        </is>
      </c>
      <c r="C39" s="22" t="n">
        <v>220802062</v>
      </c>
      <c r="D39" s="22" t="n">
        <v>54036386</v>
      </c>
      <c r="E39" s="22" t="n">
        <v>166765676</v>
      </c>
      <c r="F39" s="22" t="n">
        <v>203403250</v>
      </c>
      <c r="G39" s="20">
        <f>IFERROR(ROUND((C39-F39)*100/F39,1)&amp;"%","—")</f>
        <v/>
      </c>
      <c r="H39" s="20" t="inlineStr"/>
    </row>
    <row r="40" ht="16" customHeight="1">
      <c r="A40" s="36" t="inlineStr">
        <is>
          <t>ST GOVT/PVT INTERNATIONAL</t>
        </is>
      </c>
      <c r="B40" s="34" t="n"/>
      <c r="C40" s="34" t="n"/>
      <c r="D40" s="34" t="n"/>
      <c r="E40" s="34" t="n"/>
      <c r="F40" s="34" t="n"/>
      <c r="G40" s="34" t="n"/>
      <c r="H40" s="35" t="n"/>
    </row>
    <row r="41" ht="14" customHeight="1">
      <c r="A41" s="13" t="n">
        <v>1</v>
      </c>
      <c r="B41" s="14" t="inlineStr">
        <is>
          <t>Goa (MOPA)</t>
        </is>
      </c>
      <c r="C41" s="15" t="n">
        <v>4643852</v>
      </c>
      <c r="D41" s="15" t="n">
        <v>339854</v>
      </c>
      <c r="E41" s="15" t="n">
        <v>4303998</v>
      </c>
      <c r="F41" s="15" t="n">
        <v>4406087</v>
      </c>
      <c r="G41" s="13">
        <f>IFERROR(ROUND((C41-F41)*100/F41,1)&amp;"%","—")</f>
        <v/>
      </c>
      <c r="H41" s="13" t="inlineStr">
        <is>
          <t>St Govt/Pvt Intl</t>
        </is>
      </c>
    </row>
    <row r="42" ht="14" customHeight="1">
      <c r="A42" s="13" t="n">
        <v>2</v>
      </c>
      <c r="B42" s="14" t="inlineStr">
        <is>
          <t>Shirdi</t>
        </is>
      </c>
      <c r="C42" s="15" t="n">
        <v>741540</v>
      </c>
      <c r="D42" s="15" t="n">
        <v>20</v>
      </c>
      <c r="E42" s="15" t="n">
        <v>741520</v>
      </c>
      <c r="F42" s="15" t="n">
        <v>724980</v>
      </c>
      <c r="G42" s="13">
        <f>IFERROR(ROUND((C42-F42)*100/F42,1)&amp;"%","—")</f>
        <v/>
      </c>
      <c r="H42" s="13" t="inlineStr">
        <is>
          <t>St Govt/Pvt Intl</t>
        </is>
      </c>
    </row>
    <row r="43" ht="15" customHeight="1">
      <c r="A43" s="37" t="inlineStr"/>
      <c r="B43" s="38" t="inlineStr">
        <is>
          <t>TOTAL ST GOVT/PVT</t>
        </is>
      </c>
      <c r="C43" s="39" t="n">
        <v>5385392</v>
      </c>
      <c r="D43" s="39" t="n">
        <v>339874</v>
      </c>
      <c r="E43" s="39" t="n">
        <v>5045518</v>
      </c>
      <c r="F43" s="39" t="n">
        <v>5131067</v>
      </c>
      <c r="G43" s="37">
        <f>IFERROR(ROUND((C43-F43)*100/F43,1)&amp;"%","—")</f>
        <v/>
      </c>
      <c r="H43" s="37" t="inlineStr"/>
    </row>
    <row r="44" ht="16" customHeight="1">
      <c r="A44" s="23" t="inlineStr">
        <is>
          <t>CUSTOM AIRPORTS</t>
        </is>
      </c>
      <c r="B44" s="34" t="n"/>
      <c r="C44" s="34" t="n"/>
      <c r="D44" s="34" t="n"/>
      <c r="E44" s="34" t="n"/>
      <c r="F44" s="34" t="n"/>
      <c r="G44" s="34" t="n"/>
      <c r="H44" s="35" t="n"/>
    </row>
    <row r="45" ht="14" customHeight="1">
      <c r="A45" s="13" t="n">
        <v>1</v>
      </c>
      <c r="B45" s="14" t="inlineStr">
        <is>
          <t>Agartala</t>
        </is>
      </c>
      <c r="C45" s="15" t="n">
        <v>1410793</v>
      </c>
      <c r="D45" s="15" t="n">
        <v>0</v>
      </c>
      <c r="E45" s="15" t="n">
        <v>1410793</v>
      </c>
      <c r="F45" s="15" t="n">
        <v>1470670</v>
      </c>
      <c r="G45" s="13">
        <f>IFERROR(ROUND((C45-F45)*100/F45,1)&amp;"%","—")</f>
        <v/>
      </c>
      <c r="H45" s="13" t="inlineStr">
        <is>
          <t>Custom</t>
        </is>
      </c>
    </row>
    <row r="46" ht="14" customHeight="1">
      <c r="A46" s="13" t="n">
        <v>2</v>
      </c>
      <c r="B46" s="14" t="inlineStr">
        <is>
          <t>Aurangabad</t>
        </is>
      </c>
      <c r="C46" s="15" t="n">
        <v>700402</v>
      </c>
      <c r="D46" s="15" t="n">
        <v>0</v>
      </c>
      <c r="E46" s="15" t="n">
        <v>700402</v>
      </c>
      <c r="F46" s="15" t="n">
        <v>623915</v>
      </c>
      <c r="G46" s="13">
        <f>IFERROR(ROUND((C46-F46)*100/F46,1)&amp;"%","—")</f>
        <v/>
      </c>
      <c r="H46" s="13" t="inlineStr">
        <is>
          <t>Custom</t>
        </is>
      </c>
    </row>
    <row r="47" ht="14" customHeight="1">
      <c r="A47" s="13" t="n">
        <v>3</v>
      </c>
      <c r="B47" s="14" t="inlineStr">
        <is>
          <t>Bagdogra</t>
        </is>
      </c>
      <c r="C47" s="15" t="n">
        <v>3219410</v>
      </c>
      <c r="D47" s="15" t="n">
        <v>20458</v>
      </c>
      <c r="E47" s="15" t="n">
        <v>3198952</v>
      </c>
      <c r="F47" s="15" t="n">
        <v>3118368</v>
      </c>
      <c r="G47" s="13">
        <f>IFERROR(ROUND((C47-F47)*100/F47,1)&amp;"%","—")</f>
        <v/>
      </c>
      <c r="H47" s="13" t="inlineStr">
        <is>
          <t>Custom</t>
        </is>
      </c>
    </row>
    <row r="48" ht="14" customHeight="1">
      <c r="A48" s="13" t="n">
        <v>4</v>
      </c>
      <c r="B48" s="14" t="inlineStr">
        <is>
          <t>Bhopal</t>
        </is>
      </c>
      <c r="C48" s="15" t="n">
        <v>1603251</v>
      </c>
      <c r="D48" s="15" t="n">
        <v>645</v>
      </c>
      <c r="E48" s="15" t="n">
        <v>1602606</v>
      </c>
      <c r="F48" s="15" t="n">
        <v>1380571</v>
      </c>
      <c r="G48" s="13">
        <f>IFERROR(ROUND((C48-F48)*100/F48,1)&amp;"%","—")</f>
        <v/>
      </c>
      <c r="H48" s="13" t="inlineStr">
        <is>
          <t>Custom</t>
        </is>
      </c>
    </row>
    <row r="49" ht="14" customHeight="1">
      <c r="A49" s="13" t="n">
        <v>5</v>
      </c>
      <c r="B49" s="14" t="inlineStr">
        <is>
          <t>Chandigarh</t>
        </is>
      </c>
      <c r="C49" s="15" t="n">
        <v>4149840</v>
      </c>
      <c r="D49" s="15" t="n">
        <v>203747</v>
      </c>
      <c r="E49" s="15" t="n">
        <v>3946093</v>
      </c>
      <c r="F49" s="15" t="n">
        <v>3721229</v>
      </c>
      <c r="G49" s="13">
        <f>IFERROR(ROUND((C49-F49)*100/F49,1)&amp;"%","—")</f>
        <v/>
      </c>
      <c r="H49" s="13" t="inlineStr">
        <is>
          <t>Custom</t>
        </is>
      </c>
    </row>
    <row r="50" ht="14" customHeight="1">
      <c r="A50" s="13" t="n">
        <v>6</v>
      </c>
      <c r="B50" s="14" t="inlineStr">
        <is>
          <t>Gaya</t>
        </is>
      </c>
      <c r="C50" s="15" t="n">
        <v>329304</v>
      </c>
      <c r="D50" s="15" t="n">
        <v>100430</v>
      </c>
      <c r="E50" s="15" t="n">
        <v>228874</v>
      </c>
      <c r="F50" s="15" t="n">
        <v>320295</v>
      </c>
      <c r="G50" s="13">
        <f>IFERROR(ROUND((C50-F50)*100/F50,1)&amp;"%","—")</f>
        <v/>
      </c>
      <c r="H50" s="13" t="inlineStr">
        <is>
          <t>Custom</t>
        </is>
      </c>
    </row>
    <row r="51" ht="14" customHeight="1">
      <c r="A51" s="13" t="n">
        <v>7</v>
      </c>
      <c r="B51" s="14" t="inlineStr">
        <is>
          <t>Indore</t>
        </is>
      </c>
      <c r="C51" s="15" t="n">
        <v>3759411</v>
      </c>
      <c r="D51" s="15" t="n">
        <v>48566</v>
      </c>
      <c r="E51" s="15" t="n">
        <v>3710845</v>
      </c>
      <c r="F51" s="15" t="n">
        <v>3464831</v>
      </c>
      <c r="G51" s="13">
        <f>IFERROR(ROUND((C51-F51)*100/F51,1)&amp;"%","—")</f>
        <v/>
      </c>
      <c r="H51" s="13" t="inlineStr">
        <is>
          <t>Custom</t>
        </is>
      </c>
    </row>
    <row r="52" ht="14" customHeight="1">
      <c r="A52" s="13" t="n">
        <v>8</v>
      </c>
      <c r="B52" s="14" t="inlineStr">
        <is>
          <t>Madurai</t>
        </is>
      </c>
      <c r="C52" s="15" t="n">
        <v>1399046</v>
      </c>
      <c r="D52" s="15" t="n">
        <v>230080</v>
      </c>
      <c r="E52" s="15" t="n">
        <v>1168966</v>
      </c>
      <c r="F52" s="15" t="n">
        <v>1285976</v>
      </c>
      <c r="G52" s="13">
        <f>IFERROR(ROUND((C52-F52)*100/F52,1)&amp;"%","—")</f>
        <v/>
      </c>
      <c r="H52" s="13" t="inlineStr">
        <is>
          <t>Custom</t>
        </is>
      </c>
    </row>
    <row r="53" ht="14" customHeight="1">
      <c r="A53" s="13" t="n">
        <v>9</v>
      </c>
      <c r="B53" s="14" t="inlineStr">
        <is>
          <t>Patna</t>
        </is>
      </c>
      <c r="C53" s="15" t="n">
        <v>3819477</v>
      </c>
      <c r="D53" s="15" t="n">
        <v>0</v>
      </c>
      <c r="E53" s="15" t="n">
        <v>3819477</v>
      </c>
      <c r="F53" s="15" t="n">
        <v>3440450</v>
      </c>
      <c r="G53" s="13">
        <f>IFERROR(ROUND((C53-F53)*100/F53,1)&amp;"%","—")</f>
        <v/>
      </c>
      <c r="H53" s="13" t="inlineStr">
        <is>
          <t>Custom</t>
        </is>
      </c>
    </row>
    <row r="54" ht="14" customHeight="1">
      <c r="A54" s="13" t="n">
        <v>10</v>
      </c>
      <c r="B54" s="14" t="inlineStr">
        <is>
          <t>Pune</t>
        </is>
      </c>
      <c r="C54" s="15" t="n">
        <v>10457694</v>
      </c>
      <c r="D54" s="15" t="n">
        <v>252728</v>
      </c>
      <c r="E54" s="15" t="n">
        <v>10204966</v>
      </c>
      <c r="F54" s="15" t="n">
        <v>9525484</v>
      </c>
      <c r="G54" s="13">
        <f>IFERROR(ROUND((C54-F54)*100/F54,1)&amp;"%","—")</f>
        <v/>
      </c>
      <c r="H54" s="13" t="inlineStr">
        <is>
          <t>Custom</t>
        </is>
      </c>
    </row>
    <row r="55" ht="14" customHeight="1">
      <c r="A55" s="13" t="n">
        <v>11</v>
      </c>
      <c r="B55" s="14" t="inlineStr">
        <is>
          <t>Vadodara</t>
        </is>
      </c>
      <c r="C55" s="15" t="n">
        <v>1264148</v>
      </c>
      <c r="D55" s="15" t="n">
        <v>3</v>
      </c>
      <c r="E55" s="15" t="n">
        <v>1264145</v>
      </c>
      <c r="F55" s="15" t="n">
        <v>1218637</v>
      </c>
      <c r="G55" s="13">
        <f>IFERROR(ROUND((C55-F55)*100/F55,1)&amp;"%","—")</f>
        <v/>
      </c>
      <c r="H55" s="13" t="inlineStr">
        <is>
          <t>Custom</t>
        </is>
      </c>
    </row>
    <row r="56" ht="14" customHeight="1">
      <c r="A56" s="13" t="n">
        <v>12</v>
      </c>
      <c r="B56" s="14" t="inlineStr">
        <is>
          <t>Visakhapatnam</t>
        </is>
      </c>
      <c r="C56" s="15" t="n">
        <v>2955089</v>
      </c>
      <c r="D56" s="15" t="n">
        <v>121945</v>
      </c>
      <c r="E56" s="15" t="n">
        <v>2833144</v>
      </c>
      <c r="F56" s="15" t="n">
        <v>2788665</v>
      </c>
      <c r="G56" s="13">
        <f>IFERROR(ROUND((C56-F56)*100/F56,1)&amp;"%","—")</f>
        <v/>
      </c>
      <c r="H56" s="13" t="inlineStr">
        <is>
          <t>Custom</t>
        </is>
      </c>
    </row>
    <row r="57" ht="15" customHeight="1">
      <c r="A57" s="24" t="inlineStr"/>
      <c r="B57" s="25" t="inlineStr">
        <is>
          <t>TOTAL CUSTOM</t>
        </is>
      </c>
      <c r="C57" s="26" t="n">
        <v>35067865</v>
      </c>
      <c r="D57" s="26" t="n">
        <v>978602</v>
      </c>
      <c r="E57" s="26" t="n">
        <v>34089263</v>
      </c>
      <c r="F57" s="26" t="n">
        <v>32359091</v>
      </c>
      <c r="G57" s="24">
        <f>IFERROR(ROUND((C57-F57)*100/F57,1)&amp;"%","—")</f>
        <v/>
      </c>
      <c r="H57" s="24" t="inlineStr"/>
    </row>
    <row r="58" ht="15" customHeight="1">
      <c r="A58" s="27" t="inlineStr"/>
      <c r="B58" s="28" t="inlineStr">
        <is>
          <t>GRAND TOTAL</t>
        </is>
      </c>
      <c r="C58" s="29" t="n">
        <v>411768947</v>
      </c>
      <c r="D58" s="29" t="n">
        <v>77064620</v>
      </c>
      <c r="E58" s="29" t="n">
        <v>334704327</v>
      </c>
      <c r="F58" s="29" t="n">
        <v>376472107</v>
      </c>
      <c r="G58" s="27">
        <f>IFERROR(ROUND((C58-F58)*100/F58,1)&amp;"%","—")</f>
        <v/>
      </c>
      <c r="H58" s="27" t="inlineStr"/>
    </row>
  </sheetData>
  <mergeCells count="7">
    <mergeCell ref="A4:H4"/>
    <mergeCell ref="A2:H2"/>
    <mergeCell ref="A44:H44"/>
    <mergeCell ref="A1:H1"/>
    <mergeCell ref="A23:H23"/>
    <mergeCell ref="A31:H31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  <col width="26" customWidth="1" min="8" max="8"/>
  </cols>
  <sheetData>
    <row r="1" ht="26" customHeight="1">
      <c r="A1" s="9" t="inlineStr">
        <is>
          <t>ANNEXURE III-C: Total Passengers (Intl + Domestic) | 2025-2026</t>
        </is>
      </c>
    </row>
    <row r="2" ht="14" customHeight="1">
      <c r="A2" s="10" t="inlineStr">
        <is>
          <t>Source: DGCA Annexure-III | April to March 2025-2026</t>
        </is>
      </c>
    </row>
    <row r="3" ht="30" customHeight="1">
      <c r="A3" s="11" t="inlineStr">
        <is>
          <t>S.No</t>
        </is>
      </c>
      <c r="B3" s="11" t="inlineStr">
        <is>
          <t>Airport</t>
        </is>
      </c>
      <c r="C3" s="11" t="inlineStr">
        <is>
          <t>FY Current
(Total)</t>
        </is>
      </c>
      <c r="D3" s="11" t="inlineStr">
        <is>
          <t>FY Intl</t>
        </is>
      </c>
      <c r="E3" s="11" t="inlineStr">
        <is>
          <t>FY Domestic</t>
        </is>
      </c>
      <c r="F3" s="11" t="inlineStr">
        <is>
          <t>FY Prev
(Total)</t>
        </is>
      </c>
      <c r="G3" s="11" t="inlineStr">
        <is>
          <t>FY
Change%</t>
        </is>
      </c>
      <c r="H3" s="11" t="inlineStr">
        <is>
          <t>Airport Category</t>
        </is>
      </c>
    </row>
    <row r="4" ht="16" customHeight="1">
      <c r="A4" s="12" t="inlineStr">
        <is>
          <t>INTERNATIONAL AIRPORTS</t>
        </is>
      </c>
      <c r="B4" s="34" t="n"/>
      <c r="C4" s="34" t="n"/>
      <c r="D4" s="34" t="n"/>
      <c r="E4" s="34" t="n"/>
      <c r="F4" s="34" t="n"/>
      <c r="G4" s="34" t="n"/>
      <c r="H4" s="35" t="n"/>
    </row>
    <row r="5" ht="14" customHeight="1">
      <c r="A5" s="13" t="n">
        <v>1</v>
      </c>
      <c r="B5" s="14" t="inlineStr">
        <is>
          <t>Amritsar</t>
        </is>
      </c>
      <c r="C5" s="15" t="n">
        <v>2941017</v>
      </c>
      <c r="D5" s="15" t="n">
        <v>997408</v>
      </c>
      <c r="E5" s="15" t="n">
        <v>1943609</v>
      </c>
      <c r="F5" s="15" t="n">
        <v>3542880</v>
      </c>
      <c r="G5" s="13">
        <f>IFERROR(ROUND((C5-F5)*100/F5,1)&amp;"%","—")</f>
        <v/>
      </c>
      <c r="H5" s="13" t="inlineStr">
        <is>
          <t>International</t>
        </is>
      </c>
    </row>
    <row r="6" ht="14" customHeight="1">
      <c r="A6" s="13" t="n">
        <v>2</v>
      </c>
      <c r="B6" s="14" t="inlineStr">
        <is>
          <t>Ayodhya</t>
        </is>
      </c>
      <c r="C6" s="15" t="n">
        <v>923651</v>
      </c>
      <c r="D6" s="15" t="n">
        <v>0</v>
      </c>
      <c r="E6" s="15" t="n">
        <v>923651</v>
      </c>
      <c r="F6" s="15" t="n">
        <v>1115016</v>
      </c>
      <c r="G6" s="13">
        <f>IFERROR(ROUND((C6-F6)*100/F6,1)&amp;"%","—")</f>
        <v/>
      </c>
      <c r="H6" s="13" t="inlineStr">
        <is>
          <t>International</t>
        </is>
      </c>
    </row>
    <row r="7" ht="14" customHeight="1">
      <c r="A7" s="13" t="n">
        <v>3</v>
      </c>
      <c r="B7" s="14" t="inlineStr">
        <is>
          <t>Bhubaneswar</t>
        </is>
      </c>
      <c r="C7" s="15" t="n">
        <v>5130834</v>
      </c>
      <c r="D7" s="15" t="n">
        <v>153473</v>
      </c>
      <c r="E7" s="15" t="n">
        <v>4977361</v>
      </c>
      <c r="F7" s="15" t="n">
        <v>4838751</v>
      </c>
      <c r="G7" s="13">
        <f>IFERROR(ROUND((C7-F7)*100/F7,1)&amp;"%","—")</f>
        <v/>
      </c>
      <c r="H7" s="13" t="inlineStr">
        <is>
          <t>International</t>
        </is>
      </c>
    </row>
    <row r="8" ht="14" customHeight="1">
      <c r="A8" s="13" t="n">
        <v>4</v>
      </c>
      <c r="B8" s="14" t="inlineStr">
        <is>
          <t>Chennai</t>
        </is>
      </c>
      <c r="C8" s="15" t="n">
        <v>23017324</v>
      </c>
      <c r="D8" s="15" t="n">
        <v>6142731</v>
      </c>
      <c r="E8" s="15" t="n">
        <v>16874593</v>
      </c>
      <c r="F8" s="15" t="n">
        <v>22411290</v>
      </c>
      <c r="G8" s="13">
        <f>IFERROR(ROUND((C8-F8)*100/F8,1)&amp;"%","—")</f>
        <v/>
      </c>
      <c r="H8" s="13" t="inlineStr">
        <is>
          <t>International</t>
        </is>
      </c>
    </row>
    <row r="9" ht="14" customHeight="1">
      <c r="A9" s="13" t="n">
        <v>5</v>
      </c>
      <c r="B9" s="14" t="inlineStr">
        <is>
          <t>Coimbatore</t>
        </is>
      </c>
      <c r="C9" s="15" t="n">
        <v>3420745</v>
      </c>
      <c r="D9" s="15" t="n">
        <v>297760</v>
      </c>
      <c r="E9" s="15" t="n">
        <v>3122985</v>
      </c>
      <c r="F9" s="15" t="n">
        <v>3253190</v>
      </c>
      <c r="G9" s="13">
        <f>IFERROR(ROUND((C9-F9)*100/F9,1)&amp;"%","—")</f>
        <v/>
      </c>
      <c r="H9" s="13" t="inlineStr">
        <is>
          <t>International</t>
        </is>
      </c>
    </row>
    <row r="10" ht="14" customHeight="1">
      <c r="A10" s="13" t="n">
        <v>6</v>
      </c>
      <c r="B10" s="14" t="inlineStr">
        <is>
          <t>Goa</t>
        </is>
      </c>
      <c r="C10" s="15" t="n">
        <v>6126944</v>
      </c>
      <c r="D10" s="15" t="n">
        <v>186198</v>
      </c>
      <c r="E10" s="15" t="n">
        <v>5940746</v>
      </c>
      <c r="F10" s="15" t="n">
        <v>7244874</v>
      </c>
      <c r="G10" s="13">
        <f>IFERROR(ROUND((C10-F10)*100/F10,1)&amp;"%","—")</f>
        <v/>
      </c>
      <c r="H10" s="13" t="inlineStr">
        <is>
          <t>International</t>
        </is>
      </c>
    </row>
    <row r="11" ht="14" customHeight="1">
      <c r="A11" s="13" t="n">
        <v>7</v>
      </c>
      <c r="B11" s="14" t="inlineStr">
        <is>
          <t>Imphal</t>
        </is>
      </c>
      <c r="C11" s="15" t="n">
        <v>1366765</v>
      </c>
      <c r="D11" s="15" t="n">
        <v>0</v>
      </c>
      <c r="E11" s="15" t="n">
        <v>1366765</v>
      </c>
      <c r="F11" s="15" t="n">
        <v>1406227</v>
      </c>
      <c r="G11" s="13">
        <f>IFERROR(ROUND((C11-F11)*100/F11,1)&amp;"%","—")</f>
        <v/>
      </c>
      <c r="H11" s="13" t="inlineStr">
        <is>
          <t>International</t>
        </is>
      </c>
    </row>
    <row r="12" ht="14" customHeight="1">
      <c r="A12" s="13" t="n">
        <v>8</v>
      </c>
      <c r="B12" s="14" t="inlineStr">
        <is>
          <t>Kolkata</t>
        </is>
      </c>
      <c r="C12" s="15" t="n">
        <v>21102741</v>
      </c>
      <c r="D12" s="15" t="n">
        <v>2298213</v>
      </c>
      <c r="E12" s="15" t="n">
        <v>18804528</v>
      </c>
      <c r="F12" s="15" t="n">
        <v>21831118</v>
      </c>
      <c r="G12" s="13">
        <f>IFERROR(ROUND((C12-F12)*100/F12,1)&amp;"%","—")</f>
        <v/>
      </c>
      <c r="H12" s="13" t="inlineStr">
        <is>
          <t>International</t>
        </is>
      </c>
    </row>
    <row r="13" ht="14" customHeight="1">
      <c r="A13" s="13" t="n">
        <v>9</v>
      </c>
      <c r="B13" s="14" t="inlineStr">
        <is>
          <t>Kozhikode</t>
        </is>
      </c>
      <c r="C13" s="15" t="n">
        <v>3855618</v>
      </c>
      <c r="D13" s="15" t="n">
        <v>2920143</v>
      </c>
      <c r="E13" s="15" t="n">
        <v>935475</v>
      </c>
      <c r="F13" s="15" t="n">
        <v>3695944</v>
      </c>
      <c r="G13" s="13">
        <f>IFERROR(ROUND((C13-F13)*100/F13,1)&amp;"%","—")</f>
        <v/>
      </c>
      <c r="H13" s="13" t="inlineStr">
        <is>
          <t>International</t>
        </is>
      </c>
    </row>
    <row r="14" ht="14" customHeight="1">
      <c r="A14" s="13" t="n">
        <v>10</v>
      </c>
      <c r="B14" s="14" t="inlineStr">
        <is>
          <t>Port Blair</t>
        </is>
      </c>
      <c r="C14" s="15" t="n">
        <v>1816485</v>
      </c>
      <c r="D14" s="15" t="n">
        <v>1031</v>
      </c>
      <c r="E14" s="15" t="n">
        <v>1815454</v>
      </c>
      <c r="F14" s="15" t="n">
        <v>1656704</v>
      </c>
      <c r="G14" s="13">
        <f>IFERROR(ROUND((C14-F14)*100/F14,1)&amp;"%","—")</f>
        <v/>
      </c>
      <c r="H14" s="13" t="inlineStr">
        <is>
          <t>International</t>
        </is>
      </c>
    </row>
    <row r="15" ht="14" customHeight="1">
      <c r="A15" s="13" t="n">
        <v>11</v>
      </c>
      <c r="B15" s="14" t="inlineStr">
        <is>
          <t>Rajkot (Hirasar)</t>
        </is>
      </c>
      <c r="C15" s="15" t="n">
        <v>1246996</v>
      </c>
      <c r="D15" s="15" t="n">
        <v>0</v>
      </c>
      <c r="E15" s="15" t="n">
        <v>1246996</v>
      </c>
      <c r="F15" s="15" t="n">
        <v>1088570</v>
      </c>
      <c r="G15" s="13">
        <f>IFERROR(ROUND((C15-F15)*100/F15,1)&amp;"%","—")</f>
        <v/>
      </c>
      <c r="H15" s="13" t="inlineStr">
        <is>
          <t>International</t>
        </is>
      </c>
    </row>
    <row r="16" ht="14" customHeight="1">
      <c r="A16" s="13" t="n">
        <v>12</v>
      </c>
      <c r="B16" s="14" t="inlineStr">
        <is>
          <t>Srinagar</t>
        </is>
      </c>
      <c r="C16" s="15" t="n">
        <v>3372163</v>
      </c>
      <c r="D16" s="15" t="n">
        <v>5128</v>
      </c>
      <c r="E16" s="15" t="n">
        <v>3367035</v>
      </c>
      <c r="F16" s="15" t="n">
        <v>4472449</v>
      </c>
      <c r="G16" s="13">
        <f>IFERROR(ROUND((C16-F16)*100/F16,1)&amp;"%","—")</f>
        <v/>
      </c>
      <c r="H16" s="13" t="inlineStr">
        <is>
          <t>International</t>
        </is>
      </c>
    </row>
    <row r="17" ht="14" customHeight="1">
      <c r="A17" s="13" t="n">
        <v>13</v>
      </c>
      <c r="B17" s="14" t="inlineStr">
        <is>
          <t>Surat</t>
        </is>
      </c>
      <c r="C17" s="15" t="n">
        <v>1814572</v>
      </c>
      <c r="D17" s="15" t="n">
        <v>207690</v>
      </c>
      <c r="E17" s="15" t="n">
        <v>1606882</v>
      </c>
      <c r="F17" s="15" t="n">
        <v>1724821</v>
      </c>
      <c r="G17" s="13">
        <f>IFERROR(ROUND((C17-F17)*100/F17,1)&amp;"%","—")</f>
        <v/>
      </c>
      <c r="H17" s="13" t="inlineStr">
        <is>
          <t>International</t>
        </is>
      </c>
    </row>
    <row r="18" ht="14" customHeight="1">
      <c r="A18" s="13" t="n">
        <v>14</v>
      </c>
      <c r="B18" s="14" t="inlineStr">
        <is>
          <t>Tiruchirappalli</t>
        </is>
      </c>
      <c r="C18" s="15" t="n">
        <v>2221024</v>
      </c>
      <c r="D18" s="15" t="n">
        <v>1392659</v>
      </c>
      <c r="E18" s="15" t="n">
        <v>828365</v>
      </c>
      <c r="F18" s="15" t="n">
        <v>1956851</v>
      </c>
      <c r="G18" s="13">
        <f>IFERROR(ROUND((C18-F18)*100/F18,1)&amp;"%","—")</f>
        <v/>
      </c>
      <c r="H18" s="13" t="inlineStr">
        <is>
          <t>International</t>
        </is>
      </c>
    </row>
    <row r="19" ht="14" customHeight="1">
      <c r="A19" s="13" t="n">
        <v>15</v>
      </c>
      <c r="B19" s="14" t="inlineStr">
        <is>
          <t>Tirupati</t>
        </is>
      </c>
      <c r="C19" s="15" t="n">
        <v>1196176</v>
      </c>
      <c r="D19" s="15" t="n">
        <v>5</v>
      </c>
      <c r="E19" s="15" t="n">
        <v>1196171</v>
      </c>
      <c r="F19" s="15" t="n">
        <v>995640</v>
      </c>
      <c r="G19" s="13">
        <f>IFERROR(ROUND((C19-F19)*100/F19,1)&amp;"%","—")</f>
        <v/>
      </c>
      <c r="H19" s="13" t="inlineStr">
        <is>
          <t>International</t>
        </is>
      </c>
    </row>
    <row r="20" ht="14" customHeight="1">
      <c r="A20" s="13" t="n">
        <v>16</v>
      </c>
      <c r="B20" s="14" t="inlineStr">
        <is>
          <t>Varanasi</t>
        </is>
      </c>
      <c r="C20" s="15" t="n">
        <v>4343347</v>
      </c>
      <c r="D20" s="15" t="n">
        <v>142578</v>
      </c>
      <c r="E20" s="15" t="n">
        <v>4200769</v>
      </c>
      <c r="F20" s="15" t="n">
        <v>4027810</v>
      </c>
      <c r="G20" s="13">
        <f>IFERROR(ROUND((C20-F20)*100/F20,1)&amp;"%","—")</f>
        <v/>
      </c>
      <c r="H20" s="13" t="inlineStr">
        <is>
          <t>International</t>
        </is>
      </c>
    </row>
    <row r="21" ht="14" customHeight="1">
      <c r="A21" s="13" t="n">
        <v>17</v>
      </c>
      <c r="B21" s="14" t="inlineStr">
        <is>
          <t>Vijayawada</t>
        </is>
      </c>
      <c r="C21" s="15" t="n">
        <v>1411958</v>
      </c>
      <c r="D21" s="15" t="n">
        <v>40950</v>
      </c>
      <c r="E21" s="15" t="n">
        <v>1371008</v>
      </c>
      <c r="F21" s="15" t="n">
        <v>1388943</v>
      </c>
      <c r="G21" s="13">
        <f>IFERROR(ROUND((C21-F21)*100/F21,1)&amp;"%","—")</f>
        <v/>
      </c>
      <c r="H21" s="13" t="inlineStr">
        <is>
          <t>International</t>
        </is>
      </c>
    </row>
    <row r="22" ht="15" customHeight="1">
      <c r="A22" s="16" t="inlineStr"/>
      <c r="B22" s="17" t="inlineStr">
        <is>
          <t>TOTAL INTL</t>
        </is>
      </c>
      <c r="C22" s="18" t="n">
        <v>85308380</v>
      </c>
      <c r="D22" s="18" t="n">
        <v>14785967</v>
      </c>
      <c r="E22" s="18" t="n">
        <v>70522413</v>
      </c>
      <c r="F22" s="18" t="n">
        <v>86651348</v>
      </c>
      <c r="G22" s="16">
        <f>IFERROR(ROUND((C22-F22)*100/F22,1)&amp;"%","—")</f>
        <v/>
      </c>
      <c r="H22" s="16" t="inlineStr"/>
    </row>
    <row r="23" ht="16" customHeight="1">
      <c r="A23" s="30" t="inlineStr">
        <is>
          <t>PPP INTERNATIONAL</t>
        </is>
      </c>
      <c r="B23" s="34" t="n"/>
      <c r="C23" s="34" t="n"/>
      <c r="D23" s="34" t="n"/>
      <c r="E23" s="34" t="n"/>
      <c r="F23" s="34" t="n"/>
      <c r="G23" s="34" t="n"/>
      <c r="H23" s="35" t="n"/>
    </row>
    <row r="24" ht="14" customHeight="1">
      <c r="A24" s="13" t="n">
        <v>1</v>
      </c>
      <c r="B24" s="14" t="inlineStr">
        <is>
          <t>Ahmedabad</t>
        </is>
      </c>
      <c r="C24" s="15" t="n">
        <v>13822287</v>
      </c>
      <c r="D24" s="15" t="n">
        <v>2416259</v>
      </c>
      <c r="E24" s="15" t="n">
        <v>11406028</v>
      </c>
      <c r="F24" s="15" t="n">
        <v>13427697</v>
      </c>
      <c r="G24" s="13">
        <f>IFERROR(ROUND((C24-F24)*100/F24,1)&amp;"%","—")</f>
        <v/>
      </c>
      <c r="H24" s="13" t="inlineStr">
        <is>
          <t>PPP International</t>
        </is>
      </c>
    </row>
    <row r="25" ht="14" customHeight="1">
      <c r="A25" s="13" t="n">
        <v>2</v>
      </c>
      <c r="B25" s="14" t="inlineStr">
        <is>
          <t>Guwahati</t>
        </is>
      </c>
      <c r="C25" s="15" t="n">
        <v>6622784</v>
      </c>
      <c r="D25" s="15" t="n">
        <v>75249</v>
      </c>
      <c r="E25" s="15" t="n">
        <v>6547535</v>
      </c>
      <c r="F25" s="15" t="n">
        <v>6160157</v>
      </c>
      <c r="G25" s="13">
        <f>IFERROR(ROUND((C25-F25)*100/F25,1)&amp;"%","—")</f>
        <v/>
      </c>
      <c r="H25" s="13" t="inlineStr">
        <is>
          <t>PPP International</t>
        </is>
      </c>
    </row>
    <row r="26" ht="14" customHeight="1">
      <c r="A26" s="13" t="n">
        <v>3</v>
      </c>
      <c r="B26" s="14" t="inlineStr">
        <is>
          <t>Jaipur</t>
        </is>
      </c>
      <c r="C26" s="15" t="n">
        <v>5627147</v>
      </c>
      <c r="D26" s="15" t="n">
        <v>574923</v>
      </c>
      <c r="E26" s="15" t="n">
        <v>5052224</v>
      </c>
      <c r="F26" s="15" t="n">
        <v>6057249</v>
      </c>
      <c r="G26" s="13">
        <f>IFERROR(ROUND((C26-F26)*100/F26,1)&amp;"%","—")</f>
        <v/>
      </c>
      <c r="H26" s="13" t="inlineStr">
        <is>
          <t>PPP International</t>
        </is>
      </c>
    </row>
    <row r="27" ht="14" customHeight="1">
      <c r="A27" s="13" t="n">
        <v>4</v>
      </c>
      <c r="B27" s="14" t="inlineStr">
        <is>
          <t>Lucknow</t>
        </is>
      </c>
      <c r="C27" s="15" t="n">
        <v>6065957</v>
      </c>
      <c r="D27" s="15" t="n">
        <v>1152003</v>
      </c>
      <c r="E27" s="15" t="n">
        <v>4913954</v>
      </c>
      <c r="F27" s="15" t="n">
        <v>6438506</v>
      </c>
      <c r="G27" s="13">
        <f>IFERROR(ROUND((C27-F27)*100/F27,1)&amp;"%","—")</f>
        <v/>
      </c>
      <c r="H27" s="13" t="inlineStr">
        <is>
          <t>PPP International</t>
        </is>
      </c>
    </row>
    <row r="28" ht="14" customHeight="1">
      <c r="A28" s="13" t="n">
        <v>5</v>
      </c>
      <c r="B28" s="14" t="inlineStr">
        <is>
          <t>Mangaluru</t>
        </is>
      </c>
      <c r="C28" s="15" t="n">
        <v>2548088</v>
      </c>
      <c r="D28" s="15" t="n">
        <v>771426</v>
      </c>
      <c r="E28" s="15" t="n">
        <v>1776662</v>
      </c>
      <c r="F28" s="15" t="n">
        <v>2343032</v>
      </c>
      <c r="G28" s="13">
        <f>IFERROR(ROUND((C28-F28)*100/F28,1)&amp;"%","—")</f>
        <v/>
      </c>
      <c r="H28" s="13" t="inlineStr">
        <is>
          <t>PPP International</t>
        </is>
      </c>
    </row>
    <row r="29" ht="14" customHeight="1">
      <c r="A29" s="13" t="n">
        <v>6</v>
      </c>
      <c r="B29" s="14" t="inlineStr">
        <is>
          <t>Thiruvananthapuram</t>
        </is>
      </c>
      <c r="C29" s="15" t="n">
        <v>4694206</v>
      </c>
      <c r="D29" s="15" t="n">
        <v>2490985</v>
      </c>
      <c r="E29" s="15" t="n">
        <v>2203221</v>
      </c>
      <c r="F29" s="15" t="n">
        <v>4891009</v>
      </c>
      <c r="G29" s="13">
        <f>IFERROR(ROUND((C29-F29)*100/F29,1)&amp;"%","—")</f>
        <v/>
      </c>
      <c r="H29" s="13" t="inlineStr">
        <is>
          <t>PPP International</t>
        </is>
      </c>
    </row>
    <row r="30" ht="15" customHeight="1">
      <c r="A30" s="31" t="inlineStr"/>
      <c r="B30" s="32" t="inlineStr">
        <is>
          <t>TOTAL PPP</t>
        </is>
      </c>
      <c r="C30" s="33" t="n">
        <v>39380469</v>
      </c>
      <c r="D30" s="33" t="n">
        <v>7480845</v>
      </c>
      <c r="E30" s="33" t="n">
        <v>31899624</v>
      </c>
      <c r="F30" s="33" t="n">
        <v>39317650</v>
      </c>
      <c r="G30" s="31">
        <f>IFERROR(ROUND((C30-F30)*100/F30,1)&amp;"%","—")</f>
        <v/>
      </c>
      <c r="H30" s="31" t="inlineStr"/>
    </row>
    <row r="31" ht="16" customHeight="1">
      <c r="A31" s="19" t="inlineStr">
        <is>
          <t>JV INTERNATIONAL AIRPORTS</t>
        </is>
      </c>
      <c r="B31" s="34" t="n"/>
      <c r="C31" s="34" t="n"/>
      <c r="D31" s="34" t="n"/>
      <c r="E31" s="34" t="n"/>
      <c r="F31" s="34" t="n"/>
      <c r="G31" s="34" t="n"/>
      <c r="H31" s="35" t="n"/>
    </row>
    <row r="32" ht="14" customHeight="1">
      <c r="A32" s="13" t="n">
        <v>1</v>
      </c>
      <c r="B32" s="14" t="inlineStr">
        <is>
          <t>Bengaluru (BIAL)</t>
        </is>
      </c>
      <c r="C32" s="15" t="n">
        <v>44470035</v>
      </c>
      <c r="D32" s="15" t="n">
        <v>7227399</v>
      </c>
      <c r="E32" s="15" t="n">
        <v>37242636</v>
      </c>
      <c r="F32" s="15" t="n">
        <v>41875620</v>
      </c>
      <c r="G32" s="13">
        <f>IFERROR(ROUND((C32-F32)*100/F32,1)&amp;"%","—")</f>
        <v/>
      </c>
      <c r="H32" s="13" t="inlineStr">
        <is>
          <t>JV International</t>
        </is>
      </c>
    </row>
    <row r="33" ht="14" customHeight="1">
      <c r="A33" s="13" t="n">
        <v>2</v>
      </c>
      <c r="B33" s="14" t="inlineStr">
        <is>
          <t>Delhi (IGIA)</t>
        </is>
      </c>
      <c r="C33" s="15" t="n">
        <v>78701971</v>
      </c>
      <c r="D33" s="15" t="n">
        <v>21549460</v>
      </c>
      <c r="E33" s="15" t="n">
        <v>57152511</v>
      </c>
      <c r="F33" s="15" t="n">
        <v>79259890</v>
      </c>
      <c r="G33" s="13">
        <f>IFERROR(ROUND((C33-F33)*100/F33,1)&amp;"%","—")</f>
        <v/>
      </c>
      <c r="H33" s="13" t="inlineStr">
        <is>
          <t>JV International</t>
        </is>
      </c>
    </row>
    <row r="34" ht="14" customHeight="1">
      <c r="A34" s="13" t="n">
        <v>3</v>
      </c>
      <c r="B34" s="14" t="inlineStr">
        <is>
          <t>Hyderabad (GHIAL)</t>
        </is>
      </c>
      <c r="C34" s="15" t="n">
        <v>30483885</v>
      </c>
      <c r="D34" s="15" t="n">
        <v>5463102</v>
      </c>
      <c r="E34" s="15" t="n">
        <v>25020783</v>
      </c>
      <c r="F34" s="15" t="n">
        <v>29165232</v>
      </c>
      <c r="G34" s="13">
        <f>IFERROR(ROUND((C34-F34)*100/F34,1)&amp;"%","—")</f>
        <v/>
      </c>
      <c r="H34" s="13" t="inlineStr">
        <is>
          <t>JV International</t>
        </is>
      </c>
    </row>
    <row r="35" ht="14" customHeight="1">
      <c r="A35" s="13" t="n">
        <v>4</v>
      </c>
      <c r="B35" s="14" t="inlineStr">
        <is>
          <t>Kannur (KIAL)</t>
        </is>
      </c>
      <c r="C35" s="15" t="n">
        <v>1434168</v>
      </c>
      <c r="D35" s="15" t="n">
        <v>973391</v>
      </c>
      <c r="E35" s="15" t="n">
        <v>460777</v>
      </c>
      <c r="F35" s="15" t="n">
        <v>1344021</v>
      </c>
      <c r="G35" s="13">
        <f>IFERROR(ROUND((C35-F35)*100/F35,1)&amp;"%","—")</f>
        <v/>
      </c>
      <c r="H35" s="13" t="inlineStr">
        <is>
          <t>JV International</t>
        </is>
      </c>
    </row>
    <row r="36" ht="14" customHeight="1">
      <c r="A36" s="13" t="n">
        <v>5</v>
      </c>
      <c r="B36" s="14" t="inlineStr">
        <is>
          <t>Kochi</t>
        </is>
      </c>
      <c r="C36" s="15" t="n">
        <v>11302552</v>
      </c>
      <c r="D36" s="15" t="n">
        <v>5330796</v>
      </c>
      <c r="E36" s="15" t="n">
        <v>5971756</v>
      </c>
      <c r="F36" s="15" t="n">
        <v>11140778</v>
      </c>
      <c r="G36" s="13">
        <f>IFERROR(ROUND((C36-F36)*100/F36,1)&amp;"%","—")</f>
        <v/>
      </c>
      <c r="H36" s="13" t="inlineStr">
        <is>
          <t>JV International</t>
        </is>
      </c>
    </row>
    <row r="37" ht="14" customHeight="1">
      <c r="A37" s="13" t="n">
        <v>6</v>
      </c>
      <c r="B37" s="14" t="inlineStr">
        <is>
          <t>Mumbai (MIAL)</t>
        </is>
      </c>
      <c r="C37" s="15" t="n">
        <v>55290095</v>
      </c>
      <c r="D37" s="15" t="n">
        <v>16347263</v>
      </c>
      <c r="E37" s="15" t="n">
        <v>38942832</v>
      </c>
      <c r="F37" s="15" t="n">
        <v>55122422</v>
      </c>
      <c r="G37" s="13">
        <f>IFERROR(ROUND((C37-F37)*100/F37,1)&amp;"%","—")</f>
        <v/>
      </c>
      <c r="H37" s="13" t="inlineStr">
        <is>
          <t>JV International</t>
        </is>
      </c>
    </row>
    <row r="38" ht="14" customHeight="1">
      <c r="A38" s="13" t="n">
        <v>7</v>
      </c>
      <c r="B38" s="14" t="inlineStr">
        <is>
          <t>Nagpur</t>
        </is>
      </c>
      <c r="C38" s="15" t="n">
        <v>3007734</v>
      </c>
      <c r="D38" s="15" t="n">
        <v>96174</v>
      </c>
      <c r="E38" s="15" t="n">
        <v>2911560</v>
      </c>
      <c r="F38" s="15" t="n">
        <v>2894099</v>
      </c>
      <c r="G38" s="13">
        <f>IFERROR(ROUND((C38-F38)*100/F38,1)&amp;"%","—")</f>
        <v/>
      </c>
      <c r="H38" s="13" t="inlineStr">
        <is>
          <t>JV International</t>
        </is>
      </c>
    </row>
    <row r="39" ht="15" customHeight="1">
      <c r="A39" s="20" t="inlineStr"/>
      <c r="B39" s="21" t="inlineStr">
        <is>
          <t>TOTAL JV</t>
        </is>
      </c>
      <c r="C39" s="22" t="n">
        <v>224690440</v>
      </c>
      <c r="D39" s="22" t="n">
        <v>56987585</v>
      </c>
      <c r="E39" s="22" t="n">
        <v>167702855</v>
      </c>
      <c r="F39" s="22" t="n">
        <v>220802062</v>
      </c>
      <c r="G39" s="20">
        <f>IFERROR(ROUND((C39-F39)*100/F39,1)&amp;"%","—")</f>
        <v/>
      </c>
      <c r="H39" s="20" t="inlineStr"/>
    </row>
    <row r="40" ht="16" customHeight="1">
      <c r="A40" s="36" t="inlineStr">
        <is>
          <t>ST GOVT/PVT INTERNATIONAL</t>
        </is>
      </c>
      <c r="B40" s="34" t="n"/>
      <c r="C40" s="34" t="n"/>
      <c r="D40" s="34" t="n"/>
      <c r="E40" s="34" t="n"/>
      <c r="F40" s="34" t="n"/>
      <c r="G40" s="34" t="n"/>
      <c r="H40" s="35" t="n"/>
    </row>
    <row r="41" ht="14" customHeight="1">
      <c r="A41" s="13" t="n">
        <v>1</v>
      </c>
      <c r="B41" s="14" t="inlineStr">
        <is>
          <t>Goa (MOPA)</t>
        </is>
      </c>
      <c r="C41" s="15" t="n">
        <v>5376516</v>
      </c>
      <c r="D41" s="15" t="n">
        <v>389497</v>
      </c>
      <c r="E41" s="15" t="n">
        <v>4987019</v>
      </c>
      <c r="F41" s="15" t="n">
        <v>4643852</v>
      </c>
      <c r="G41" s="13">
        <f>IFERROR(ROUND((C41-F41)*100/F41,1)&amp;"%","—")</f>
        <v/>
      </c>
      <c r="H41" s="13" t="inlineStr">
        <is>
          <t>St Govt/Pvt Intl</t>
        </is>
      </c>
    </row>
    <row r="42" ht="14" customHeight="1">
      <c r="A42" s="13" t="n">
        <v>2</v>
      </c>
      <c r="B42" s="14" t="inlineStr">
        <is>
          <t>Navi Mumbai (NMIAL)</t>
        </is>
      </c>
      <c r="C42" s="15" t="n">
        <v>638394</v>
      </c>
      <c r="D42" s="15" t="n">
        <v>0</v>
      </c>
      <c r="E42" s="15" t="n">
        <v>638394</v>
      </c>
      <c r="F42" s="15" t="n">
        <v>0</v>
      </c>
      <c r="G42" s="13">
        <f>IFERROR(ROUND((C42-F42)*100/F42,1)&amp;"%","—")</f>
        <v/>
      </c>
      <c r="H42" s="13" t="inlineStr">
        <is>
          <t>St Govt/Pvt Intl</t>
        </is>
      </c>
    </row>
    <row r="43" ht="14" customHeight="1">
      <c r="A43" s="13" t="n">
        <v>3</v>
      </c>
      <c r="B43" s="14" t="inlineStr">
        <is>
          <t>Shirdi</t>
        </is>
      </c>
      <c r="C43" s="15" t="n">
        <v>605913</v>
      </c>
      <c r="D43" s="15" t="n">
        <v>61</v>
      </c>
      <c r="E43" s="15" t="n">
        <v>605852</v>
      </c>
      <c r="F43" s="15" t="n">
        <v>741540</v>
      </c>
      <c r="G43" s="13">
        <f>IFERROR(ROUND((C43-F43)*100/F43,1)&amp;"%","—")</f>
        <v/>
      </c>
      <c r="H43" s="13" t="inlineStr">
        <is>
          <t>St Govt/Pvt Intl</t>
        </is>
      </c>
    </row>
    <row r="44" ht="15" customHeight="1">
      <c r="A44" s="37" t="inlineStr"/>
      <c r="B44" s="38" t="inlineStr">
        <is>
          <t>TOTAL ST GOVT/PVT</t>
        </is>
      </c>
      <c r="C44" s="39" t="n">
        <v>6620823</v>
      </c>
      <c r="D44" s="39" t="n">
        <v>389558</v>
      </c>
      <c r="E44" s="39" t="n">
        <v>6231265</v>
      </c>
      <c r="F44" s="39" t="n">
        <v>5385392</v>
      </c>
      <c r="G44" s="37">
        <f>IFERROR(ROUND((C44-F44)*100/F44,1)&amp;"%","—")</f>
        <v/>
      </c>
      <c r="H44" s="37" t="inlineStr"/>
    </row>
    <row r="45" ht="16" customHeight="1">
      <c r="A45" s="23" t="inlineStr">
        <is>
          <t>CUSTOM AIRPORTS</t>
        </is>
      </c>
      <c r="B45" s="34" t="n"/>
      <c r="C45" s="34" t="n"/>
      <c r="D45" s="34" t="n"/>
      <c r="E45" s="34" t="n"/>
      <c r="F45" s="34" t="n"/>
      <c r="G45" s="34" t="n"/>
      <c r="H45" s="35" t="n"/>
    </row>
    <row r="46" ht="14" customHeight="1">
      <c r="A46" s="13" t="n">
        <v>1</v>
      </c>
      <c r="B46" s="14" t="inlineStr">
        <is>
          <t>Agartala</t>
        </is>
      </c>
      <c r="C46" s="15" t="n">
        <v>1538175</v>
      </c>
      <c r="D46" s="15" t="n">
        <v>0</v>
      </c>
      <c r="E46" s="15" t="n">
        <v>1538175</v>
      </c>
      <c r="F46" s="15" t="n">
        <v>1410793</v>
      </c>
      <c r="G46" s="13">
        <f>IFERROR(ROUND((C46-F46)*100/F46,1)&amp;"%","—")</f>
        <v/>
      </c>
      <c r="H46" s="13" t="inlineStr">
        <is>
          <t>Custom</t>
        </is>
      </c>
    </row>
    <row r="47" ht="14" customHeight="1">
      <c r="A47" s="13" t="n">
        <v>2</v>
      </c>
      <c r="B47" s="14" t="inlineStr">
        <is>
          <t>Aurangabad</t>
        </is>
      </c>
      <c r="C47" s="15" t="n">
        <v>628152</v>
      </c>
      <c r="D47" s="15" t="n">
        <v>0</v>
      </c>
      <c r="E47" s="15" t="n">
        <v>628152</v>
      </c>
      <c r="F47" s="15" t="n">
        <v>700402</v>
      </c>
      <c r="G47" s="13">
        <f>IFERROR(ROUND((C47-F47)*100/F47,1)&amp;"%","—")</f>
        <v/>
      </c>
      <c r="H47" s="13" t="inlineStr">
        <is>
          <t>Custom</t>
        </is>
      </c>
    </row>
    <row r="48" ht="14" customHeight="1">
      <c r="A48" s="13" t="n">
        <v>3</v>
      </c>
      <c r="B48" s="14" t="inlineStr">
        <is>
          <t>Bagdogra</t>
        </is>
      </c>
      <c r="C48" s="15" t="n">
        <v>3657078</v>
      </c>
      <c r="D48" s="15" t="n">
        <v>26768</v>
      </c>
      <c r="E48" s="15" t="n">
        <v>3630310</v>
      </c>
      <c r="F48" s="15" t="n">
        <v>3219410</v>
      </c>
      <c r="G48" s="13">
        <f>IFERROR(ROUND((C48-F48)*100/F48,1)&amp;"%","—")</f>
        <v/>
      </c>
      <c r="H48" s="13" t="inlineStr">
        <is>
          <t>Custom</t>
        </is>
      </c>
    </row>
    <row r="49" ht="14" customHeight="1">
      <c r="A49" s="13" t="n">
        <v>4</v>
      </c>
      <c r="B49" s="14" t="inlineStr">
        <is>
          <t>Bhopal</t>
        </is>
      </c>
      <c r="C49" s="15" t="n">
        <v>1581305</v>
      </c>
      <c r="D49" s="15" t="n">
        <v>625</v>
      </c>
      <c r="E49" s="15" t="n">
        <v>1580680</v>
      </c>
      <c r="F49" s="15" t="n">
        <v>1603251</v>
      </c>
      <c r="G49" s="13">
        <f>IFERROR(ROUND((C49-F49)*100/F49,1)&amp;"%","—")</f>
        <v/>
      </c>
      <c r="H49" s="13" t="inlineStr">
        <is>
          <t>Custom</t>
        </is>
      </c>
    </row>
    <row r="50" ht="14" customHeight="1">
      <c r="A50" s="13" t="n">
        <v>5</v>
      </c>
      <c r="B50" s="14" t="inlineStr">
        <is>
          <t>Chandigarh</t>
        </is>
      </c>
      <c r="C50" s="15" t="n">
        <v>3926519</v>
      </c>
      <c r="D50" s="15" t="n">
        <v>173044</v>
      </c>
      <c r="E50" s="15" t="n">
        <v>3753475</v>
      </c>
      <c r="F50" s="15" t="n">
        <v>4149840</v>
      </c>
      <c r="G50" s="13">
        <f>IFERROR(ROUND((C50-F50)*100/F50,1)&amp;"%","—")</f>
        <v/>
      </c>
      <c r="H50" s="13" t="inlineStr">
        <is>
          <t>Custom</t>
        </is>
      </c>
    </row>
    <row r="51" ht="14" customHeight="1">
      <c r="A51" s="13" t="n">
        <v>6</v>
      </c>
      <c r="B51" s="14" t="inlineStr">
        <is>
          <t>Gaya</t>
        </is>
      </c>
      <c r="C51" s="15" t="n">
        <v>357462</v>
      </c>
      <c r="D51" s="15" t="n">
        <v>91104</v>
      </c>
      <c r="E51" s="15" t="n">
        <v>266358</v>
      </c>
      <c r="F51" s="15" t="n">
        <v>329304</v>
      </c>
      <c r="G51" s="13">
        <f>IFERROR(ROUND((C51-F51)*100/F51,1)&amp;"%","—")</f>
        <v/>
      </c>
      <c r="H51" s="13" t="inlineStr">
        <is>
          <t>Custom</t>
        </is>
      </c>
    </row>
    <row r="52" ht="14" customHeight="1">
      <c r="A52" s="13" t="n">
        <v>7</v>
      </c>
      <c r="B52" s="14" t="inlineStr">
        <is>
          <t>Indore</t>
        </is>
      </c>
      <c r="C52" s="15" t="n">
        <v>4244999</v>
      </c>
      <c r="D52" s="15" t="n">
        <v>65916</v>
      </c>
      <c r="E52" s="15" t="n">
        <v>4179083</v>
      </c>
      <c r="F52" s="15" t="n">
        <v>3759411</v>
      </c>
      <c r="G52" s="13">
        <f>IFERROR(ROUND((C52-F52)*100/F52,1)&amp;"%","—")</f>
        <v/>
      </c>
      <c r="H52" s="13" t="inlineStr">
        <is>
          <t>Custom</t>
        </is>
      </c>
    </row>
    <row r="53" ht="14" customHeight="1">
      <c r="A53" s="13" t="n">
        <v>8</v>
      </c>
      <c r="B53" s="14" t="inlineStr">
        <is>
          <t>Madurai</t>
        </is>
      </c>
      <c r="C53" s="15" t="n">
        <v>1388062</v>
      </c>
      <c r="D53" s="15" t="n">
        <v>194158</v>
      </c>
      <c r="E53" s="15" t="n">
        <v>1193904</v>
      </c>
      <c r="F53" s="15" t="n">
        <v>1399046</v>
      </c>
      <c r="G53" s="13">
        <f>IFERROR(ROUND((C53-F53)*100/F53,1)&amp;"%","—")</f>
        <v/>
      </c>
      <c r="H53" s="13" t="inlineStr">
        <is>
          <t>Custom</t>
        </is>
      </c>
    </row>
    <row r="54" ht="14" customHeight="1">
      <c r="A54" s="13" t="n">
        <v>9</v>
      </c>
      <c r="B54" s="14" t="inlineStr">
        <is>
          <t>Patna</t>
        </is>
      </c>
      <c r="C54" s="15" t="n">
        <v>4386376</v>
      </c>
      <c r="D54" s="15" t="n">
        <v>0</v>
      </c>
      <c r="E54" s="15" t="n">
        <v>4386376</v>
      </c>
      <c r="F54" s="15" t="n">
        <v>3819477</v>
      </c>
      <c r="G54" s="13">
        <f>IFERROR(ROUND((C54-F54)*100/F54,1)&amp;"%","—")</f>
        <v/>
      </c>
      <c r="H54" s="13" t="inlineStr">
        <is>
          <t>Custom</t>
        </is>
      </c>
    </row>
    <row r="55" ht="14" customHeight="1">
      <c r="A55" s="13" t="n">
        <v>10</v>
      </c>
      <c r="B55" s="14" t="inlineStr">
        <is>
          <t>Pune</t>
        </is>
      </c>
      <c r="C55" s="15" t="n">
        <v>11005988</v>
      </c>
      <c r="D55" s="15" t="n">
        <v>339804</v>
      </c>
      <c r="E55" s="15" t="n">
        <v>10666184</v>
      </c>
      <c r="F55" s="15" t="n">
        <v>10457694</v>
      </c>
      <c r="G55" s="13">
        <f>IFERROR(ROUND((C55-F55)*100/F55,1)&amp;"%","—")</f>
        <v/>
      </c>
      <c r="H55" s="13" t="inlineStr">
        <is>
          <t>Custom</t>
        </is>
      </c>
    </row>
    <row r="56" ht="14" customHeight="1">
      <c r="A56" s="13" t="n">
        <v>11</v>
      </c>
      <c r="B56" s="14" t="inlineStr">
        <is>
          <t>Vadodara</t>
        </is>
      </c>
      <c r="C56" s="15" t="n">
        <v>1298410</v>
      </c>
      <c r="D56" s="15" t="n">
        <v>14</v>
      </c>
      <c r="E56" s="15" t="n">
        <v>1298396</v>
      </c>
      <c r="F56" s="15" t="n">
        <v>1264148</v>
      </c>
      <c r="G56" s="13">
        <f>IFERROR(ROUND((C56-F56)*100/F56,1)&amp;"%","—")</f>
        <v/>
      </c>
      <c r="H56" s="13" t="inlineStr">
        <is>
          <t>Custom</t>
        </is>
      </c>
    </row>
    <row r="57" ht="14" customHeight="1">
      <c r="A57" s="13" t="n">
        <v>12</v>
      </c>
      <c r="B57" s="14" t="inlineStr">
        <is>
          <t>Visakhapatnam</t>
        </is>
      </c>
      <c r="C57" s="15" t="n">
        <v>2967744</v>
      </c>
      <c r="D57" s="15" t="n">
        <v>103236</v>
      </c>
      <c r="E57" s="15" t="n">
        <v>2864508</v>
      </c>
      <c r="F57" s="15" t="n">
        <v>2955089</v>
      </c>
      <c r="G57" s="13">
        <f>IFERROR(ROUND((C57-F57)*100/F57,1)&amp;"%","—")</f>
        <v/>
      </c>
      <c r="H57" s="13" t="inlineStr">
        <is>
          <t>Custom</t>
        </is>
      </c>
    </row>
    <row r="58" ht="15" customHeight="1">
      <c r="A58" s="24" t="inlineStr"/>
      <c r="B58" s="25" t="inlineStr">
        <is>
          <t>TOTAL CUSTOM</t>
        </is>
      </c>
      <c r="C58" s="26" t="n">
        <v>36980270</v>
      </c>
      <c r="D58" s="26" t="n">
        <v>994669</v>
      </c>
      <c r="E58" s="26" t="n">
        <v>35985601</v>
      </c>
      <c r="F58" s="26" t="n">
        <v>35067865</v>
      </c>
      <c r="G58" s="24">
        <f>IFERROR(ROUND((C58-F58)*100/F58,1)&amp;"%","—")</f>
        <v/>
      </c>
      <c r="H58" s="24" t="inlineStr"/>
    </row>
    <row r="59" ht="15" customHeight="1">
      <c r="A59" s="27" t="inlineStr"/>
      <c r="B59" s="28" t="inlineStr">
        <is>
          <t>GRAND TOTAL</t>
        </is>
      </c>
      <c r="C59" s="29" t="n">
        <v>420089356</v>
      </c>
      <c r="D59" s="29" t="n">
        <v>80641496</v>
      </c>
      <c r="E59" s="29" t="n">
        <v>339447860</v>
      </c>
      <c r="F59" s="29" t="n">
        <v>411768947</v>
      </c>
      <c r="G59" s="27">
        <f>IFERROR(ROUND((C59-F59)*100/F59,1)&amp;"%","—")</f>
        <v/>
      </c>
      <c r="H59" s="27" t="inlineStr"/>
    </row>
  </sheetData>
  <mergeCells count="7">
    <mergeCell ref="A45:H45"/>
    <mergeCell ref="A4:H4"/>
    <mergeCell ref="A2:H2"/>
    <mergeCell ref="A1:H1"/>
    <mergeCell ref="A23:H23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2026-06-04T15:54:59Z</dcterms:created>
  <dcterms:modified xmlns:dcterms="http://purl.org/dc/terms/" xmlns:xsi="http://www.w3.org/2001/XMLSchema-instance" xsi:type="dcterms:W3CDTF">2026-06-05T07:51:07Z</dcterms:modified>
</cp:coreProperties>
</file>